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A5B0428-35A0-4C5F-819D-C9847C17C04D}" xr6:coauthVersionLast="47" xr6:coauthVersionMax="47" xr10:uidLastSave="{00000000-0000-0000-0000-000000000000}"/>
  <bookViews>
    <workbookView xWindow="-120" yWindow="-120" windowWidth="20730" windowHeight="11040" activeTab="2" xr2:uid="{DD48EB59-D422-440A-B3D8-B7024E933AC0}"/>
  </bookViews>
  <sheets>
    <sheet name="Text to Columns" sheetId="4" r:id="rId1"/>
    <sheet name="Text Functions" sheetId="3" r:id="rId2"/>
    <sheet name="Sheet1" sheetId="5" r:id="rId3"/>
  </sheets>
  <externalReferences>
    <externalReference r:id="rId4"/>
  </externalReferences>
  <definedNames>
    <definedName name="comm_pct">[1]Revised!$E$8:$E$13</definedName>
    <definedName name="incr">[1]Calculations!$B$3</definedName>
    <definedName name="sales_brackets">[1]Revised!$B$8:$B$13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5" l="1"/>
  <c r="C33" i="5"/>
  <c r="C34" i="5"/>
  <c r="C35" i="5"/>
  <c r="C36" i="5"/>
  <c r="C37" i="5"/>
  <c r="C38" i="5"/>
  <c r="C31" i="5"/>
  <c r="C41" i="5"/>
  <c r="C40" i="5"/>
  <c r="E32" i="5"/>
  <c r="E33" i="5"/>
  <c r="E34" i="5"/>
  <c r="E35" i="5"/>
  <c r="E36" i="5"/>
  <c r="E37" i="5"/>
  <c r="E38" i="5"/>
  <c r="E31" i="5"/>
  <c r="C8" i="5"/>
  <c r="D32" i="5"/>
  <c r="D33" i="5"/>
  <c r="D34" i="5"/>
  <c r="D35" i="5"/>
  <c r="D36" i="5"/>
  <c r="D37" i="5"/>
  <c r="D38" i="5"/>
  <c r="B32" i="5"/>
  <c r="B33" i="5"/>
  <c r="B34" i="5"/>
  <c r="B35" i="5"/>
  <c r="B36" i="5"/>
  <c r="B37" i="5"/>
  <c r="B38" i="5"/>
  <c r="B31" i="5"/>
  <c r="C9" i="5"/>
  <c r="C10" i="5"/>
  <c r="C11" i="5"/>
  <c r="C12" i="5"/>
  <c r="C13" i="5"/>
  <c r="B11" i="5"/>
  <c r="B12" i="5"/>
  <c r="B13" i="5"/>
  <c r="B26" i="5"/>
  <c r="B25" i="5"/>
  <c r="D21" i="5"/>
  <c r="D22" i="5"/>
  <c r="D20" i="5"/>
  <c r="C21" i="5"/>
  <c r="C22" i="5"/>
  <c r="C20" i="5"/>
  <c r="C16" i="5"/>
  <c r="B22" i="5"/>
  <c r="B21" i="5"/>
  <c r="B20" i="5"/>
  <c r="B16" i="5"/>
  <c r="L188" i="4"/>
  <c r="L189" i="4"/>
  <c r="L190" i="4"/>
  <c r="L191" i="4"/>
  <c r="L192" i="4"/>
  <c r="L193" i="4"/>
  <c r="L194" i="4"/>
  <c r="L195" i="4"/>
  <c r="L196" i="4"/>
  <c r="L187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5" i="4"/>
  <c r="J4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54" i="4"/>
  <c r="L55" i="4"/>
  <c r="L56" i="4"/>
  <c r="L57" i="4"/>
  <c r="L58" i="4"/>
  <c r="L59" i="4"/>
  <c r="L44" i="4"/>
  <c r="L45" i="4"/>
  <c r="L46" i="4"/>
  <c r="L47" i="4"/>
  <c r="L48" i="4"/>
  <c r="L49" i="4"/>
  <c r="L50" i="4"/>
  <c r="L51" i="4"/>
  <c r="L52" i="4"/>
  <c r="L53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6" i="4"/>
  <c r="L5" i="4"/>
  <c r="B9" i="5"/>
  <c r="B10" i="5"/>
  <c r="B8" i="5"/>
  <c r="P3" i="4"/>
  <c r="C6" i="5"/>
  <c r="O3" i="4"/>
  <c r="C2" i="5"/>
  <c r="C1" i="5"/>
  <c r="L4" i="4"/>
  <c r="L3" i="4"/>
  <c r="K3" i="4"/>
  <c r="J3" i="4"/>
  <c r="I3" i="4"/>
  <c r="H3" i="4"/>
  <c r="G5" i="4"/>
  <c r="G4" i="4"/>
  <c r="G3" i="4"/>
  <c r="F5" i="4"/>
  <c r="F3" i="4"/>
  <c r="F4" i="4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3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4" i="3"/>
  <c r="T5" i="3"/>
  <c r="T6" i="3"/>
  <c r="T7" i="3"/>
  <c r="T8" i="3"/>
  <c r="T3" i="3"/>
  <c r="S3" i="3"/>
  <c r="R3" i="3"/>
  <c r="Q3" i="3"/>
  <c r="P3" i="3"/>
  <c r="O3" i="3"/>
  <c r="N3" i="3"/>
  <c r="M4" i="3"/>
  <c r="M6" i="3"/>
  <c r="K3" i="3"/>
  <c r="J3" i="3"/>
  <c r="I3" i="3"/>
  <c r="H7" i="3"/>
  <c r="H4" i="3"/>
  <c r="H5" i="3"/>
  <c r="M5" i="3" s="1"/>
  <c r="H6" i="3"/>
  <c r="H3" i="3"/>
  <c r="M3" i="3" s="1"/>
  <c r="G7" i="3"/>
  <c r="G6" i="3"/>
  <c r="G5" i="3"/>
  <c r="G4" i="3"/>
  <c r="G3" i="3"/>
  <c r="L3" i="3" s="1"/>
  <c r="E3" i="3"/>
  <c r="D3" i="3"/>
  <c r="F3" i="3" s="1"/>
</calcChain>
</file>

<file path=xl/sharedStrings.xml><?xml version="1.0" encoding="utf-8"?>
<sst xmlns="http://schemas.openxmlformats.org/spreadsheetml/2006/main" count="576" uniqueCount="299">
  <si>
    <t>City, State, Zip Code</t>
  </si>
  <si>
    <t>Population</t>
  </si>
  <si>
    <t>Rank</t>
  </si>
  <si>
    <t>LOWER</t>
  </si>
  <si>
    <t>UPPER</t>
  </si>
  <si>
    <t>PROPER</t>
  </si>
  <si>
    <t>LEFT</t>
  </si>
  <si>
    <t>RIGHT</t>
  </si>
  <si>
    <t>LEN</t>
  </si>
  <si>
    <t>TRIM</t>
  </si>
  <si>
    <t>&amp;</t>
  </si>
  <si>
    <t>CONCAT</t>
  </si>
  <si>
    <t>VALUE</t>
  </si>
  <si>
    <t>VALUE+RIGHT</t>
  </si>
  <si>
    <t>FIND</t>
  </si>
  <si>
    <t>SEARCH</t>
  </si>
  <si>
    <t>REPLACE</t>
  </si>
  <si>
    <t>SUBSTITUTE</t>
  </si>
  <si>
    <t>MID</t>
  </si>
  <si>
    <t>City</t>
  </si>
  <si>
    <t>State</t>
  </si>
  <si>
    <t>Zip</t>
  </si>
  <si>
    <t>Birmingham, Alabama  35203</t>
  </si>
  <si>
    <t>Huntsville, Alabama  35813</t>
  </si>
  <si>
    <t>Mobile, Alabama  36601</t>
  </si>
  <si>
    <t>Montgomery, Alabama  36119</t>
  </si>
  <si>
    <t>Anchorage, Alaska  99599</t>
  </si>
  <si>
    <t>Chandler, Arizona  85225</t>
  </si>
  <si>
    <t>Gilbert, Arizona  85296</t>
  </si>
  <si>
    <t>Glendale, Arizona  85302</t>
  </si>
  <si>
    <t>Mesa, Arizona  85201</t>
  </si>
  <si>
    <t>Peoria, Arizona  85381</t>
  </si>
  <si>
    <t>Phoenix, Arizona  85026</t>
  </si>
  <si>
    <t>Scottsdale, Arizona  85251</t>
  </si>
  <si>
    <t>Tempe, Arizona  85282</t>
  </si>
  <si>
    <t>Tucson, Arizona  85726</t>
  </si>
  <si>
    <t>Little Rock, Arkansas  72202</t>
  </si>
  <si>
    <t>Anaheim, California  92803</t>
  </si>
  <si>
    <t>Antioch, California  94509</t>
  </si>
  <si>
    <t>Bakersfield, California  93380</t>
  </si>
  <si>
    <t>Berkeley, California  94704</t>
  </si>
  <si>
    <t>Burbank, California  91505</t>
  </si>
  <si>
    <t>Chula Vista, California  91910</t>
  </si>
  <si>
    <t>Concord, California  94520</t>
  </si>
  <si>
    <t>Corona, California  91718</t>
  </si>
  <si>
    <t>Costa Mesa, California  92628</t>
  </si>
  <si>
    <t>Daly City, California  94015</t>
  </si>
  <si>
    <t>Downey, California  90241</t>
  </si>
  <si>
    <t>El Monte, California  91734</t>
  </si>
  <si>
    <t>Elk Grove, California  95624</t>
  </si>
  <si>
    <t>Escondido, California  92025</t>
  </si>
  <si>
    <t>Fairfield, California  94533</t>
  </si>
  <si>
    <t>Fontana, California  92335</t>
  </si>
  <si>
    <t>Fremont, California  94537</t>
  </si>
  <si>
    <t>Fresno, California  93706</t>
  </si>
  <si>
    <t>Fullerton, California  92834</t>
  </si>
  <si>
    <t>Garden Grove, California  92842</t>
  </si>
  <si>
    <t>Glendale, California  91205</t>
  </si>
  <si>
    <t>Hayward, California  94544</t>
  </si>
  <si>
    <t>Huntington Beach, California  92647</t>
  </si>
  <si>
    <t>Inglewood, California  90301</t>
  </si>
  <si>
    <t>Irvine, California  92619</t>
  </si>
  <si>
    <t>Lancaster, California  93534</t>
  </si>
  <si>
    <t>Long Beach, California  90802</t>
  </si>
  <si>
    <t>Los Angeles, California  90052</t>
  </si>
  <si>
    <t>Modesto, California  95350</t>
  </si>
  <si>
    <t>Moreno Valley, California  92553</t>
  </si>
  <si>
    <t>Norwalk, California  90650</t>
  </si>
  <si>
    <t>Oakland, California  94612</t>
  </si>
  <si>
    <t>Oceanside, California  92054</t>
  </si>
  <si>
    <t>Ontario, California  91761</t>
  </si>
  <si>
    <t>Orange, California  92863</t>
  </si>
  <si>
    <t>Oxnard, California  93030</t>
  </si>
  <si>
    <t>Palmdale, California  93550</t>
  </si>
  <si>
    <t>Pasadena, California  91103</t>
  </si>
  <si>
    <t>Pomona, California  91769</t>
  </si>
  <si>
    <t>Rancho Cucamonga, California  91729</t>
  </si>
  <si>
    <t>Richmond, California  94801</t>
  </si>
  <si>
    <t>Riverside, California  92507</t>
  </si>
  <si>
    <t>Roseville, California  95661</t>
  </si>
  <si>
    <t>Sacramento, California  95813</t>
  </si>
  <si>
    <t>Salinas, California  93907</t>
  </si>
  <si>
    <t>San Bernardino, California  92401</t>
  </si>
  <si>
    <t>Ventura, California  93001</t>
  </si>
  <si>
    <t>San Diego, California  92199</t>
  </si>
  <si>
    <t>San Francisco, California  94188</t>
  </si>
  <si>
    <t>San Jose, California  95101</t>
  </si>
  <si>
    <t>Santa Ana, California  92711</t>
  </si>
  <si>
    <t>Santa Clara, California  95050</t>
  </si>
  <si>
    <t>Santa Clarita, California  91355</t>
  </si>
  <si>
    <t>Santa Rosa, California  95402</t>
  </si>
  <si>
    <t>Simi Valley, California  93065</t>
  </si>
  <si>
    <t>Stockton, California  95208</t>
  </si>
  <si>
    <t>Sunnyvale, California  94086</t>
  </si>
  <si>
    <t>Thousand Oaks, California  91362</t>
  </si>
  <si>
    <t>Torrance, California  90503</t>
  </si>
  <si>
    <t>Vallejo, California  94590</t>
  </si>
  <si>
    <t>Visalia, California  93277</t>
  </si>
  <si>
    <t>West Covina, California  91793</t>
  </si>
  <si>
    <t>Arvada, Colorado  80004</t>
  </si>
  <si>
    <t>Aurora, Colorado  80017</t>
  </si>
  <si>
    <t>Colorado Springs, Colorado  80903</t>
  </si>
  <si>
    <t>Denver, Colorado  80202</t>
  </si>
  <si>
    <t>Fort Collins, Colorado  80525</t>
  </si>
  <si>
    <t>Lakewood, Colorado  80202</t>
  </si>
  <si>
    <t>Pueblo, Colorado  81003</t>
  </si>
  <si>
    <t>Thornton, Colorado  80221</t>
  </si>
  <si>
    <t>Westminster, Colorado  80030</t>
  </si>
  <si>
    <t>Bridgeport, Connecticut  06602</t>
  </si>
  <si>
    <t>Hartford, Connecticut  06101</t>
  </si>
  <si>
    <t>New Haven, Connecticut  06511</t>
  </si>
  <si>
    <t>Stamford, Connecticut  06904</t>
  </si>
  <si>
    <t>Waterbury, Connecticut  06702</t>
  </si>
  <si>
    <t>Washington, D.C.  20090</t>
  </si>
  <si>
    <t>Cape Coral, Florida  33909</t>
  </si>
  <si>
    <t>Clearwater, Florida  33990</t>
  </si>
  <si>
    <t>Coral Springs, Florida  33075</t>
  </si>
  <si>
    <t>Fort Lauderdale, Florida  33310</t>
  </si>
  <si>
    <t>Gainesville, Florida  32601</t>
  </si>
  <si>
    <t>Hialeah, Florida  33010</t>
  </si>
  <si>
    <t>Hollywood, Florida  33022</t>
  </si>
  <si>
    <t>Jacksonville, Florida  32203</t>
  </si>
  <si>
    <t>Miami, Florida  33152</t>
  </si>
  <si>
    <t>Miramar, Florida  33023</t>
  </si>
  <si>
    <t>Orlando, Florida  32802</t>
  </si>
  <si>
    <t>Pembroke Pines, Florida  33024</t>
  </si>
  <si>
    <t>Pompano Beach, Florida  33060</t>
  </si>
  <si>
    <t>Port St. Lucie, Florida  34952</t>
  </si>
  <si>
    <t>St. Petersburg, Florida  33730</t>
  </si>
  <si>
    <t>Tallahassee, Florida  32301</t>
  </si>
  <si>
    <t>Tampa, Florida  33630</t>
  </si>
  <si>
    <t>Athens, Georgia  30608</t>
  </si>
  <si>
    <t>Atlanta, Georgia  30304</t>
  </si>
  <si>
    <t>Augusta, Georgia  30901</t>
  </si>
  <si>
    <t>Columbus, Georgia  31908</t>
  </si>
  <si>
    <t>Savannah, Georgia  31402</t>
  </si>
  <si>
    <t>Honolulu, Hawaii  96820</t>
  </si>
  <si>
    <t>Boise, Idaho  83708</t>
  </si>
  <si>
    <t>Aurora, Illinois  60505</t>
  </si>
  <si>
    <t>Chicago, Illinois  60607</t>
  </si>
  <si>
    <t>Joliet, Illinois  60436</t>
  </si>
  <si>
    <t>Naperville, Illinois  60540</t>
  </si>
  <si>
    <t>Peoria, Illinois  61601</t>
  </si>
  <si>
    <t>Rockford, Illinois  61125</t>
  </si>
  <si>
    <t>Springfield, Illinois  62703</t>
  </si>
  <si>
    <t>Evansville, Indiana  47708</t>
  </si>
  <si>
    <t>Fort Wayne, Indiana  46802</t>
  </si>
  <si>
    <t>Indianapolis, Indiana  46206</t>
  </si>
  <si>
    <t>South Bend, Indiana  46624</t>
  </si>
  <si>
    <t>Cedar Rapids, Iowa  52401</t>
  </si>
  <si>
    <t>Des Moines, Iowa  50318</t>
  </si>
  <si>
    <t>Kansas City, Kansas  66106</t>
  </si>
  <si>
    <t>Olathe, Kansas  66051</t>
  </si>
  <si>
    <t>Overland Park, Kansas  66204</t>
  </si>
  <si>
    <t>Topeka, Kansas  66603</t>
  </si>
  <si>
    <t>Wichita, Kansas  67276</t>
  </si>
  <si>
    <t>Lexington, Kentucky  40511</t>
  </si>
  <si>
    <t>Louisville, Kentucky  40231</t>
  </si>
  <si>
    <t>Baton Rouge, Louisiana  70826</t>
  </si>
  <si>
    <t>Lafayette, Louisiana  70509</t>
  </si>
  <si>
    <t>New Orleans, Louisiana  70113</t>
  </si>
  <si>
    <t>Shreveport, Louisiana  71102</t>
  </si>
  <si>
    <t>Baltimore, Maryland  21202</t>
  </si>
  <si>
    <t>Boston, Massachusetts  02205</t>
  </si>
  <si>
    <t>Cambridge, Massachusetts  02139</t>
  </si>
  <si>
    <t>Lowell, Massachusetts  01853</t>
  </si>
  <si>
    <t>Springfield, Massachusetts  01101</t>
  </si>
  <si>
    <t>Worcester, Massachusetts  01613</t>
  </si>
  <si>
    <t>Ann Arbor, Michigan  48104</t>
  </si>
  <si>
    <t>Detroit, Michigan  48233</t>
  </si>
  <si>
    <t>Flint, Michigan  48502</t>
  </si>
  <si>
    <t>Grand Rapids, Michigan  49501</t>
  </si>
  <si>
    <t>Lansing, Michigan  48924</t>
  </si>
  <si>
    <t>Sterling Heights, Michigan  48311</t>
  </si>
  <si>
    <t>Warren, Michigan  48090</t>
  </si>
  <si>
    <t>Minneapolis, Minnesota  55401</t>
  </si>
  <si>
    <t>St. Paul, Minnesota  55109</t>
  </si>
  <si>
    <t>Jackson, Mississippi  39205</t>
  </si>
  <si>
    <t>Independence, Missouri  64052</t>
  </si>
  <si>
    <t>Kansas City, Missouri  64108</t>
  </si>
  <si>
    <t>Springfield, Missouri  65801</t>
  </si>
  <si>
    <t>St. Louis, Missouri  63155</t>
  </si>
  <si>
    <t>Lincoln, Nebraska  68501</t>
  </si>
  <si>
    <t>Omaha, Nebraska  68108</t>
  </si>
  <si>
    <t>Henderson, Nevada  89015</t>
  </si>
  <si>
    <t>Las Vegas, Nevada  89199</t>
  </si>
  <si>
    <t>North Las Vegas, Nevada  89030</t>
  </si>
  <si>
    <t>Reno, Nevada  89510</t>
  </si>
  <si>
    <t>Manchester, New Hampshire  03103</t>
  </si>
  <si>
    <t>Elizabeth, New Jersey  07208</t>
  </si>
  <si>
    <t>Jersey City, New Jersey  07302</t>
  </si>
  <si>
    <t>Newark, New Jersey  07102</t>
  </si>
  <si>
    <t>Paterson, New Jersey  07510</t>
  </si>
  <si>
    <t>Albuquerque, New Mexico  87101</t>
  </si>
  <si>
    <t>Buffalo, New York   14240</t>
  </si>
  <si>
    <t>New York, New York   10199</t>
  </si>
  <si>
    <t>Rochester, New York   14692</t>
  </si>
  <si>
    <t>Syracuse, New York   13220</t>
  </si>
  <si>
    <t>Yonkers, New York   10701</t>
  </si>
  <si>
    <t>Cary, North Carolina  27511</t>
  </si>
  <si>
    <t>Charlotte, North Carolina  28228</t>
  </si>
  <si>
    <t>Durham, North Carolina  27701</t>
  </si>
  <si>
    <t>Fayetteville, North Carolina  28302</t>
  </si>
  <si>
    <t>Greensboro, North Carolina  27420</t>
  </si>
  <si>
    <t>Raleigh, North Carolina  27613</t>
  </si>
  <si>
    <t>Winston, North Carolina  27102</t>
  </si>
  <si>
    <t>Akron, Ohio  44309</t>
  </si>
  <si>
    <t>Cincinnati, Ohio  45225</t>
  </si>
  <si>
    <t>Cleveland, Ohio  44101</t>
  </si>
  <si>
    <t>Columbus, Ohio  43216</t>
  </si>
  <si>
    <t>Dayton, Ohio  45401</t>
  </si>
  <si>
    <t>Toledo, Ohio  43601</t>
  </si>
  <si>
    <t>Norman, Oklahoma  73019</t>
  </si>
  <si>
    <t>Oklahoma City, Oklahoma  73125</t>
  </si>
  <si>
    <t>Tulsa, Oklahoma  74107</t>
  </si>
  <si>
    <t>Eugene, Oregon  97401</t>
  </si>
  <si>
    <t>Portland, Oregon  97208</t>
  </si>
  <si>
    <t>Salem, Oregon  97309</t>
  </si>
  <si>
    <t>Allentown, Pennsylvania  18101</t>
  </si>
  <si>
    <t>Erie, Pennsylvania  16515</t>
  </si>
  <si>
    <t>Philadelphia, Pennsylvania  19104</t>
  </si>
  <si>
    <t>Pittsburgh, Pennsylvania  15290</t>
  </si>
  <si>
    <t>Providence, Rhode Island  02904</t>
  </si>
  <si>
    <t>Charleston, South Carolina  29401</t>
  </si>
  <si>
    <t>Columbia, South Carolina  29201</t>
  </si>
  <si>
    <t>Sioux Falls, South Dakota  57104</t>
  </si>
  <si>
    <t>Chattanooga, Tennessee  37421</t>
  </si>
  <si>
    <t>Clarksville, Tennessee  37043</t>
  </si>
  <si>
    <t>Knoxville, Tennessee  37950</t>
  </si>
  <si>
    <t>Memphis, Tennessee  38101</t>
  </si>
  <si>
    <t>Nashville, Tennessee  37230</t>
  </si>
  <si>
    <t>Abilene, Texas  79604</t>
  </si>
  <si>
    <t>Amarillo, Texas  79120</t>
  </si>
  <si>
    <t>Arlington, Texas  76004</t>
  </si>
  <si>
    <t>Austin, Texas  78710</t>
  </si>
  <si>
    <t>Beaumont, Texas  77707</t>
  </si>
  <si>
    <t>Brownsville, Texas  78520</t>
  </si>
  <si>
    <t>Carrollton, Texas  75006</t>
  </si>
  <si>
    <t>Corpus Christi, Texas  78469</t>
  </si>
  <si>
    <t>Dallas, Texas  75260</t>
  </si>
  <si>
    <t>Denton, Texas  76201</t>
  </si>
  <si>
    <t>El Paso, Texas  79910</t>
  </si>
  <si>
    <t>Fort Worth, Texas  76161</t>
  </si>
  <si>
    <t>Garland, Texas  75040</t>
  </si>
  <si>
    <t>Grand Prairie, Texas  75051</t>
  </si>
  <si>
    <t>Houston, Texas  77201</t>
  </si>
  <si>
    <t>Irving, Texas  75061</t>
  </si>
  <si>
    <t>Killeen, Texas  76541</t>
  </si>
  <si>
    <t>Laredo, Texas  78041</t>
  </si>
  <si>
    <t>Lubbock, Texas  79402</t>
  </si>
  <si>
    <t>McAllen, Texas  78501</t>
  </si>
  <si>
    <t>Mesquite, Texas  75149</t>
  </si>
  <si>
    <t>Pasadena, Texas  77501</t>
  </si>
  <si>
    <t>Plano, Texas  75074</t>
  </si>
  <si>
    <t>San Antonio, Texas  78284</t>
  </si>
  <si>
    <t>Waco, Texas  76702</t>
  </si>
  <si>
    <t>Salt Lake City, Utah  84199</t>
  </si>
  <si>
    <t>West Valley City, Utah  84199</t>
  </si>
  <si>
    <t>Alexandria, Virginia  22314</t>
  </si>
  <si>
    <t>Arlington CDP, Virginia  23320</t>
  </si>
  <si>
    <t>Chesapeake, Virginia  23670</t>
  </si>
  <si>
    <t>Hampton, Virginia  23607</t>
  </si>
  <si>
    <t>Newport News, Virginia  23501</t>
  </si>
  <si>
    <t>Norfolk, Virginia  23707</t>
  </si>
  <si>
    <t>Portsmouth, Virginia  23702</t>
  </si>
  <si>
    <t>Richmond, Virginia  23232</t>
  </si>
  <si>
    <t>Virginia Beach, Virginia  23450</t>
  </si>
  <si>
    <t>Bellevue, Washington  98009</t>
  </si>
  <si>
    <t>Seattle, Washington  98108</t>
  </si>
  <si>
    <t>Spokane, Washington  99201</t>
  </si>
  <si>
    <t>Tacoma, Washington  98413</t>
  </si>
  <si>
    <t>Vancouver, Washington  98668</t>
  </si>
  <si>
    <t>Green Bay, Wisconsin  54303</t>
  </si>
  <si>
    <t>Madison, Wisconsin  53714</t>
  </si>
  <si>
    <t>Milwaukee, Wisconsin  53203</t>
  </si>
  <si>
    <t>TEXT JOIN</t>
  </si>
  <si>
    <t xml:space="preserve">       Huntsville, Alabama  35813        </t>
  </si>
  <si>
    <t>Nikhil</t>
  </si>
  <si>
    <t>Sharma</t>
  </si>
  <si>
    <t>Value</t>
  </si>
  <si>
    <t>amit@gmail.com</t>
  </si>
  <si>
    <t>himanshu@gmail.com</t>
  </si>
  <si>
    <t>om@gmail.com</t>
  </si>
  <si>
    <t>Hello World</t>
  </si>
  <si>
    <t>Using FIND function</t>
  </si>
  <si>
    <t>Using SEARCH function</t>
  </si>
  <si>
    <t>Contact</t>
  </si>
  <si>
    <t>Masked Contact</t>
  </si>
  <si>
    <t>Using SUBSTITUTE function</t>
  </si>
  <si>
    <t>Using REPLACE function</t>
  </si>
  <si>
    <t>+918778383865</t>
  </si>
  <si>
    <t>+918263978896</t>
  </si>
  <si>
    <t>Using SUBSTITUTE</t>
  </si>
  <si>
    <t>Using MID function</t>
  </si>
  <si>
    <t>rohan@outlook.in</t>
  </si>
  <si>
    <t>nitin@rediffmail.com</t>
  </si>
  <si>
    <t>pooja@microsoft.in</t>
  </si>
  <si>
    <t>City, State, Zipcode</t>
  </si>
  <si>
    <t>Zipcode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</si>
</sst>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/>
    <xf numFmtId="0" fontId="2" fillId="0" borderId="0" xfId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2" xfId="0" applyFont="1" applyBorder="1"/>
    <xf numFmtId="0" fontId="0" fillId="0" borderId="2" xfId="0" applyBorder="1"/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byui-my.sharepoint.com/personal/kbp209_byui_edu/Documents/BA215/Commission%20Model%20-%20k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Revised"/>
      <sheetName val="Calculations"/>
      <sheetName val="Plan"/>
    </sheetNames>
    <sheetDataSet>
      <sheetData sheetId="0">
        <row r="4">
          <cell r="J4" t="str">
            <v>Commissions</v>
          </cell>
        </row>
      </sheetData>
      <sheetData sheetId="1">
        <row r="8">
          <cell r="B8">
            <v>0</v>
          </cell>
          <cell r="E8">
            <v>0.01</v>
          </cell>
        </row>
        <row r="9">
          <cell r="B9">
            <v>600000</v>
          </cell>
          <cell r="E9">
            <v>1.4999999999999999E-2</v>
          </cell>
        </row>
        <row r="10">
          <cell r="B10">
            <v>750000</v>
          </cell>
          <cell r="E10">
            <v>0.02</v>
          </cell>
        </row>
        <row r="11">
          <cell r="B11">
            <v>1000000</v>
          </cell>
          <cell r="E11">
            <v>2.5000000000000001E-2</v>
          </cell>
        </row>
        <row r="12">
          <cell r="B12">
            <v>1500000</v>
          </cell>
          <cell r="E12">
            <v>0.03</v>
          </cell>
        </row>
        <row r="13">
          <cell r="B13">
            <v>2000000</v>
          </cell>
          <cell r="E13">
            <v>0.05</v>
          </cell>
        </row>
      </sheetData>
      <sheetData sheetId="2">
        <row r="3">
          <cell r="B3">
            <v>500000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om@gmail.com" TargetMode="External"/><Relationship Id="rId2" Type="http://schemas.openxmlformats.org/officeDocument/2006/relationships/hyperlink" Target="mailto:himanshu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pooja@microsoft.in" TargetMode="External"/><Relationship Id="rId5" Type="http://schemas.openxmlformats.org/officeDocument/2006/relationships/hyperlink" Target="mailto:rohan@outlook.in" TargetMode="External"/><Relationship Id="rId4" Type="http://schemas.openxmlformats.org/officeDocument/2006/relationships/hyperlink" Target="mailto:nitin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09E7-4C3C-4662-93E5-538B26B063F3}">
  <sheetPr codeName="Sheet21"/>
  <dimension ref="B2:R255"/>
  <sheetViews>
    <sheetView topLeftCell="G1" workbookViewId="0">
      <selection activeCell="R2" sqref="R2"/>
    </sheetView>
  </sheetViews>
  <sheetFormatPr defaultColWidth="10.625" defaultRowHeight="20.100000000000001" customHeight="1" x14ac:dyDescent="0.2"/>
  <cols>
    <col min="1" max="1" width="10.625" style="1"/>
    <col min="2" max="2" width="32.125" style="1" bestFit="1" customWidth="1"/>
    <col min="3" max="5" width="10.625" style="1"/>
    <col min="6" max="6" width="24.875" style="1" bestFit="1" customWidth="1"/>
    <col min="7" max="7" width="27.625" style="1" bestFit="1" customWidth="1"/>
    <col min="8" max="8" width="25.375" style="1" bestFit="1" customWidth="1"/>
    <col min="9" max="11" width="10.625" style="1"/>
    <col min="12" max="12" width="24.75" style="1" bestFit="1" customWidth="1"/>
    <col min="13" max="16" width="10.625" style="1"/>
    <col min="17" max="17" width="10.75" style="1" customWidth="1"/>
    <col min="18" max="16384" width="10.625" style="1"/>
  </cols>
  <sheetData>
    <row r="2" spans="2:18" ht="20.100000000000001" customHeight="1" x14ac:dyDescent="0.2">
      <c r="B2" s="1" t="s">
        <v>0</v>
      </c>
      <c r="C2" s="1" t="s">
        <v>1</v>
      </c>
      <c r="D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279</v>
      </c>
      <c r="P2" s="1" t="s">
        <v>14</v>
      </c>
      <c r="Q2" s="1" t="s">
        <v>15</v>
      </c>
      <c r="R2" s="1" t="s">
        <v>16</v>
      </c>
    </row>
    <row r="3" spans="2:18" ht="20.100000000000001" customHeight="1" x14ac:dyDescent="0.2">
      <c r="B3" s="1" t="s">
        <v>22</v>
      </c>
      <c r="C3" s="1">
        <v>231483</v>
      </c>
      <c r="D3" s="1">
        <v>79</v>
      </c>
      <c r="F3" s="1" t="str">
        <f>LOWER(B3)</f>
        <v>birmingham, alabama  35203</v>
      </c>
      <c r="G3" s="1" t="str">
        <f>UPPER(B3)</f>
        <v>BIRMINGHAM, ALABAMA  35203</v>
      </c>
      <c r="H3" s="1" t="str">
        <f>PROPER(B3)</f>
        <v>Birmingham, Alabama  35203</v>
      </c>
      <c r="I3" s="1" t="str">
        <f>LEFT(B3,5)</f>
        <v>Birmi</v>
      </c>
      <c r="J3" s="1" t="str">
        <f>RIGHT(B3,5)</f>
        <v>35203</v>
      </c>
      <c r="K3" s="1">
        <f>LEN(B3)</f>
        <v>26</v>
      </c>
      <c r="L3" s="1" t="str">
        <f>TRIM(B3)</f>
        <v>Birmingham, Alabama 35203</v>
      </c>
      <c r="O3" s="1">
        <f>VALUE(J3)</f>
        <v>35203</v>
      </c>
      <c r="P3" s="1">
        <f>FIND(",",B3)</f>
        <v>11</v>
      </c>
    </row>
    <row r="4" spans="2:18" ht="20.100000000000001" customHeight="1" x14ac:dyDescent="0.2">
      <c r="B4" s="1" t="s">
        <v>276</v>
      </c>
      <c r="C4" s="1">
        <v>166313</v>
      </c>
      <c r="D4" s="1">
        <v>134</v>
      </c>
      <c r="F4" s="1" t="str">
        <f>LOWER(B4)</f>
        <v xml:space="preserve">       huntsville, alabama  35813        </v>
      </c>
      <c r="G4" s="1" t="str">
        <f>UPPER(B4)</f>
        <v xml:space="preserve">       HUNTSVILLE, ALABAMA  35813        </v>
      </c>
      <c r="I4" s="1" t="str">
        <f t="shared" ref="I4:I67" si="0">LEFT(B4,5)</f>
        <v xml:space="preserve">     </v>
      </c>
      <c r="J4" s="1" t="str">
        <f>RIGHT(B4,5)</f>
        <v xml:space="preserve">     </v>
      </c>
      <c r="L4" s="1" t="str">
        <f>TRIM(B4)</f>
        <v>Huntsville, Alabama 35813</v>
      </c>
    </row>
    <row r="5" spans="2:18" ht="20.100000000000001" customHeight="1" x14ac:dyDescent="0.2">
      <c r="B5" s="1" t="s">
        <v>24</v>
      </c>
      <c r="C5" s="1">
        <v>191544</v>
      </c>
      <c r="D5" s="1">
        <v>112</v>
      </c>
      <c r="F5" s="1" t="str">
        <f>LOWER(B5)</f>
        <v>mobile, alabama  36601</v>
      </c>
      <c r="G5" s="1" t="str">
        <f>UPPER(B5)</f>
        <v>MOBILE, ALABAMA  36601</v>
      </c>
      <c r="I5" s="1" t="str">
        <f t="shared" si="0"/>
        <v>Mobil</v>
      </c>
      <c r="J5" s="1" t="str">
        <f>RIGHT(B5,5)</f>
        <v>36601</v>
      </c>
      <c r="L5" s="1" t="str">
        <f>TRIM(B5)</f>
        <v>Mobile, Alabama 36601</v>
      </c>
    </row>
    <row r="6" spans="2:18" ht="20.100000000000001" customHeight="1" x14ac:dyDescent="0.2">
      <c r="B6" s="1" t="s">
        <v>25</v>
      </c>
      <c r="C6" s="1">
        <v>200127</v>
      </c>
      <c r="D6" s="1">
        <v>97</v>
      </c>
      <c r="I6" s="1" t="str">
        <f t="shared" si="0"/>
        <v>Montg</v>
      </c>
      <c r="J6" s="1" t="str">
        <f t="shared" ref="J6:J69" si="1">RIGHT(B6,5)</f>
        <v>36119</v>
      </c>
      <c r="L6" s="1" t="str">
        <f>TRIM(B6)</f>
        <v>Montgomery, Alabama 36119</v>
      </c>
    </row>
    <row r="7" spans="2:18" ht="20.100000000000001" customHeight="1" x14ac:dyDescent="0.2">
      <c r="B7" s="1" t="s">
        <v>26</v>
      </c>
      <c r="C7" s="1">
        <v>275043</v>
      </c>
      <c r="D7" s="1">
        <v>68</v>
      </c>
      <c r="I7" s="1" t="str">
        <f t="shared" si="0"/>
        <v>Ancho</v>
      </c>
      <c r="J7" s="1" t="str">
        <f t="shared" si="1"/>
        <v>99599</v>
      </c>
      <c r="L7" s="1" t="str">
        <f t="shared" ref="L7:L43" si="2">TRIM(B7)</f>
        <v>Anchorage, Alaska 99599</v>
      </c>
    </row>
    <row r="8" spans="2:18" ht="20.100000000000001" customHeight="1" x14ac:dyDescent="0.2">
      <c r="B8" s="1" t="s">
        <v>27</v>
      </c>
      <c r="C8" s="1">
        <v>234939</v>
      </c>
      <c r="D8" s="1">
        <v>75</v>
      </c>
      <c r="I8" s="1" t="str">
        <f t="shared" si="0"/>
        <v>Chand</v>
      </c>
      <c r="J8" s="1" t="str">
        <f t="shared" si="1"/>
        <v>85225</v>
      </c>
      <c r="L8" s="1" t="str">
        <f t="shared" si="2"/>
        <v>Chandler, Arizona 85225</v>
      </c>
    </row>
    <row r="9" spans="2:18" ht="20.100000000000001" customHeight="1" x14ac:dyDescent="0.2">
      <c r="B9" s="1" t="s">
        <v>28</v>
      </c>
      <c r="C9" s="1">
        <v>173989</v>
      </c>
      <c r="D9" s="1">
        <v>127</v>
      </c>
      <c r="I9" s="1" t="str">
        <f t="shared" si="0"/>
        <v>Gilbe</v>
      </c>
      <c r="J9" s="1" t="str">
        <f t="shared" si="1"/>
        <v>85296</v>
      </c>
      <c r="L9" s="1" t="str">
        <f t="shared" si="2"/>
        <v>Gilbert, Arizona 85296</v>
      </c>
    </row>
    <row r="10" spans="2:18" ht="20.100000000000001" customHeight="1" x14ac:dyDescent="0.2">
      <c r="B10" s="1" t="s">
        <v>29</v>
      </c>
      <c r="C10" s="1">
        <v>239435</v>
      </c>
      <c r="D10" s="1">
        <v>73</v>
      </c>
      <c r="I10" s="1" t="str">
        <f t="shared" si="0"/>
        <v>Glend</v>
      </c>
      <c r="J10" s="1" t="str">
        <f t="shared" si="1"/>
        <v>85302</v>
      </c>
      <c r="L10" s="1" t="str">
        <f t="shared" si="2"/>
        <v>Glendale, Arizona 85302</v>
      </c>
    </row>
    <row r="11" spans="2:18" ht="20.100000000000001" customHeight="1" x14ac:dyDescent="0.2">
      <c r="B11" s="1" t="s">
        <v>30</v>
      </c>
      <c r="C11" s="1">
        <v>442780</v>
      </c>
      <c r="D11" s="1">
        <v>41</v>
      </c>
      <c r="I11" s="1" t="str">
        <f t="shared" si="0"/>
        <v>Mesa,</v>
      </c>
      <c r="J11" s="1" t="str">
        <f t="shared" si="1"/>
        <v>85201</v>
      </c>
      <c r="L11" s="1" t="str">
        <f t="shared" si="2"/>
        <v>Mesa, Arizona 85201</v>
      </c>
    </row>
    <row r="12" spans="2:18" ht="20.100000000000001" customHeight="1" x14ac:dyDescent="0.2">
      <c r="B12" s="1" t="s">
        <v>31</v>
      </c>
      <c r="C12" s="1">
        <v>138200</v>
      </c>
      <c r="D12" s="1">
        <v>169</v>
      </c>
      <c r="I12" s="1" t="str">
        <f t="shared" si="0"/>
        <v>Peori</v>
      </c>
      <c r="J12" s="1" t="str">
        <f t="shared" si="1"/>
        <v>85381</v>
      </c>
      <c r="L12" s="1" t="str">
        <f t="shared" si="2"/>
        <v>Peoria, Arizona 85381</v>
      </c>
    </row>
    <row r="13" spans="2:18" ht="20.100000000000001" customHeight="1" x14ac:dyDescent="0.2">
      <c r="B13" s="1" t="s">
        <v>32</v>
      </c>
      <c r="C13" s="1">
        <v>1461575</v>
      </c>
      <c r="D13" s="1">
        <v>6</v>
      </c>
      <c r="I13" s="1" t="str">
        <f t="shared" si="0"/>
        <v>Phoen</v>
      </c>
      <c r="J13" s="1" t="str">
        <f t="shared" si="1"/>
        <v>85026</v>
      </c>
      <c r="L13" s="1" t="str">
        <f t="shared" si="2"/>
        <v>Phoenix, Arizona 85026</v>
      </c>
    </row>
    <row r="14" spans="2:18" ht="20.100000000000001" customHeight="1" x14ac:dyDescent="0.2">
      <c r="B14" s="1" t="s">
        <v>33</v>
      </c>
      <c r="C14" s="1">
        <v>226013</v>
      </c>
      <c r="D14" s="1">
        <v>80</v>
      </c>
      <c r="I14" s="1" t="str">
        <f t="shared" si="0"/>
        <v>Scott</v>
      </c>
      <c r="J14" s="1" t="str">
        <f t="shared" si="1"/>
        <v>85251</v>
      </c>
      <c r="L14" s="1" t="str">
        <f t="shared" si="2"/>
        <v>Scottsdale, Arizona 85251</v>
      </c>
    </row>
    <row r="15" spans="2:18" ht="20.100000000000001" customHeight="1" x14ac:dyDescent="0.2">
      <c r="B15" s="1" t="s">
        <v>34</v>
      </c>
      <c r="C15" s="1">
        <v>161143</v>
      </c>
      <c r="D15" s="1">
        <v>139</v>
      </c>
      <c r="I15" s="1" t="str">
        <f t="shared" si="0"/>
        <v>Tempe</v>
      </c>
      <c r="J15" s="1" t="str">
        <f t="shared" si="1"/>
        <v>85282</v>
      </c>
      <c r="L15" s="1" t="str">
        <f t="shared" si="2"/>
        <v>Tempe, Arizona 85282</v>
      </c>
    </row>
    <row r="16" spans="2:18" ht="20.100000000000001" customHeight="1" x14ac:dyDescent="0.2">
      <c r="B16" s="1" t="s">
        <v>35</v>
      </c>
      <c r="C16" s="1">
        <v>515526</v>
      </c>
      <c r="D16" s="1">
        <v>32</v>
      </c>
      <c r="I16" s="1" t="str">
        <f t="shared" si="0"/>
        <v>Tucso</v>
      </c>
      <c r="J16" s="1" t="str">
        <f t="shared" si="1"/>
        <v>85726</v>
      </c>
      <c r="L16" s="1" t="str">
        <f t="shared" si="2"/>
        <v>Tucson, Arizona 85726</v>
      </c>
    </row>
    <row r="17" spans="2:12" ht="20.100000000000001" customHeight="1" x14ac:dyDescent="0.2">
      <c r="B17" s="1" t="s">
        <v>36</v>
      </c>
      <c r="C17" s="1">
        <v>184564</v>
      </c>
      <c r="D17" s="1">
        <v>116</v>
      </c>
      <c r="I17" s="1" t="str">
        <f t="shared" si="0"/>
        <v>Littl</v>
      </c>
      <c r="J17" s="1" t="str">
        <f t="shared" si="1"/>
        <v>72202</v>
      </c>
      <c r="L17" s="1" t="str">
        <f t="shared" si="2"/>
        <v>Little Rock, Arkansas 72202</v>
      </c>
    </row>
    <row r="18" spans="2:12" ht="20.100000000000001" customHeight="1" x14ac:dyDescent="0.2">
      <c r="B18" s="1" t="s">
        <v>37</v>
      </c>
      <c r="C18" s="1">
        <v>331804</v>
      </c>
      <c r="D18" s="1">
        <v>55</v>
      </c>
      <c r="I18" s="1" t="str">
        <f t="shared" si="0"/>
        <v>Anahe</v>
      </c>
      <c r="J18" s="1" t="str">
        <f t="shared" si="1"/>
        <v>92803</v>
      </c>
      <c r="L18" s="1" t="str">
        <f t="shared" si="2"/>
        <v>Anaheim, California 92803</v>
      </c>
    </row>
    <row r="19" spans="2:12" ht="20.100000000000001" customHeight="1" x14ac:dyDescent="0.2">
      <c r="B19" s="1" t="s">
        <v>38</v>
      </c>
      <c r="C19" s="1">
        <v>100631</v>
      </c>
      <c r="D19" s="1">
        <v>249</v>
      </c>
      <c r="I19" s="1" t="str">
        <f t="shared" si="0"/>
        <v>Antio</v>
      </c>
      <c r="J19" s="1" t="str">
        <f t="shared" si="1"/>
        <v>94509</v>
      </c>
      <c r="L19" s="1" t="str">
        <f t="shared" si="2"/>
        <v>Antioch, California 94509</v>
      </c>
    </row>
    <row r="20" spans="2:12" ht="20.100000000000001" customHeight="1" x14ac:dyDescent="0.2">
      <c r="B20" s="1" t="s">
        <v>39</v>
      </c>
      <c r="C20" s="1">
        <v>295536</v>
      </c>
      <c r="D20" s="1">
        <v>61</v>
      </c>
      <c r="I20" s="1" t="str">
        <f t="shared" si="0"/>
        <v>Baker</v>
      </c>
      <c r="J20" s="1" t="str">
        <f t="shared" si="1"/>
        <v>93380</v>
      </c>
      <c r="L20" s="1" t="str">
        <f t="shared" si="2"/>
        <v>Bakersfield, California 93380</v>
      </c>
    </row>
    <row r="21" spans="2:12" ht="20.100000000000001" customHeight="1" x14ac:dyDescent="0.2">
      <c r="B21" s="1" t="s">
        <v>40</v>
      </c>
      <c r="C21" s="1">
        <v>100744</v>
      </c>
      <c r="D21" s="1">
        <v>248</v>
      </c>
      <c r="I21" s="1" t="str">
        <f t="shared" si="0"/>
        <v>Berke</v>
      </c>
      <c r="J21" s="1" t="str">
        <f t="shared" si="1"/>
        <v>94704</v>
      </c>
      <c r="L21" s="1" t="str">
        <f t="shared" si="2"/>
        <v>Berkeley, California 94704</v>
      </c>
    </row>
    <row r="22" spans="2:12" ht="20.100000000000001" customHeight="1" x14ac:dyDescent="0.2">
      <c r="B22" s="1" t="s">
        <v>41</v>
      </c>
      <c r="C22" s="1">
        <v>104108</v>
      </c>
      <c r="D22" s="1">
        <v>238</v>
      </c>
      <c r="I22" s="1" t="str">
        <f t="shared" si="0"/>
        <v>Burba</v>
      </c>
      <c r="J22" s="1" t="str">
        <f t="shared" si="1"/>
        <v>91505</v>
      </c>
      <c r="L22" s="1" t="str">
        <f t="shared" si="2"/>
        <v>Burbank, California 91505</v>
      </c>
    </row>
    <row r="23" spans="2:12" ht="20.100000000000001" customHeight="1" x14ac:dyDescent="0.2">
      <c r="B23" s="1" t="s">
        <v>42</v>
      </c>
      <c r="C23" s="1">
        <v>210497</v>
      </c>
      <c r="D23" s="1">
        <v>90</v>
      </c>
      <c r="I23" s="1" t="str">
        <f t="shared" si="0"/>
        <v>Chula</v>
      </c>
      <c r="J23" s="1" t="str">
        <f t="shared" si="1"/>
        <v>91910</v>
      </c>
      <c r="L23" s="1" t="str">
        <f t="shared" si="2"/>
        <v>Chula Vista, California 91910</v>
      </c>
    </row>
    <row r="24" spans="2:12" ht="20.100000000000001" customHeight="1" x14ac:dyDescent="0.2">
      <c r="B24" s="1" t="s">
        <v>43</v>
      </c>
      <c r="C24" s="1">
        <v>123252</v>
      </c>
      <c r="D24" s="1">
        <v>191</v>
      </c>
      <c r="I24" s="1" t="str">
        <f t="shared" si="0"/>
        <v>Conco</v>
      </c>
      <c r="J24" s="1" t="str">
        <f t="shared" si="1"/>
        <v>94520</v>
      </c>
      <c r="L24" s="1" t="str">
        <f t="shared" si="2"/>
        <v>Concord, California 94520</v>
      </c>
    </row>
    <row r="25" spans="2:12" ht="20.100000000000001" customHeight="1" x14ac:dyDescent="0.2">
      <c r="B25" s="1" t="s">
        <v>44</v>
      </c>
      <c r="C25" s="1">
        <v>149387</v>
      </c>
      <c r="D25" s="1">
        <v>151</v>
      </c>
      <c r="I25" s="1" t="str">
        <f t="shared" si="0"/>
        <v>Coron</v>
      </c>
      <c r="J25" s="1" t="str">
        <f t="shared" si="1"/>
        <v>91718</v>
      </c>
      <c r="L25" s="1" t="str">
        <f t="shared" si="2"/>
        <v>Corona, California 91718</v>
      </c>
    </row>
    <row r="26" spans="2:12" ht="20.100000000000001" customHeight="1" x14ac:dyDescent="0.2">
      <c r="B26" s="1" t="s">
        <v>45</v>
      </c>
      <c r="C26" s="1">
        <v>109830</v>
      </c>
      <c r="D26" s="1">
        <v>217</v>
      </c>
      <c r="I26" s="1" t="str">
        <f t="shared" si="0"/>
        <v>Costa</v>
      </c>
      <c r="J26" s="1" t="str">
        <f t="shared" si="1"/>
        <v>92628</v>
      </c>
      <c r="L26" s="1" t="str">
        <f t="shared" si="2"/>
        <v>Costa Mesa, California 92628</v>
      </c>
    </row>
    <row r="27" spans="2:12" ht="20.100000000000001" customHeight="1" x14ac:dyDescent="0.2">
      <c r="B27" s="1" t="s">
        <v>46</v>
      </c>
      <c r="C27" s="1">
        <v>100339</v>
      </c>
      <c r="D27" s="1">
        <v>250</v>
      </c>
      <c r="I27" s="1" t="str">
        <f t="shared" si="0"/>
        <v xml:space="preserve">Daly </v>
      </c>
      <c r="J27" s="1" t="str">
        <f t="shared" si="1"/>
        <v>94015</v>
      </c>
      <c r="L27" s="1" t="str">
        <f t="shared" si="2"/>
        <v>Daly City, California 94015</v>
      </c>
    </row>
    <row r="28" spans="2:12" ht="20.100000000000001" customHeight="1" x14ac:dyDescent="0.2">
      <c r="B28" s="1" t="s">
        <v>47</v>
      </c>
      <c r="C28" s="1">
        <v>109718</v>
      </c>
      <c r="D28" s="1">
        <v>218</v>
      </c>
      <c r="I28" s="1" t="str">
        <f t="shared" si="0"/>
        <v>Downe</v>
      </c>
      <c r="J28" s="1" t="str">
        <f t="shared" si="1"/>
        <v>90241</v>
      </c>
      <c r="L28" s="1" t="str">
        <f t="shared" si="2"/>
        <v>Downey, California 90241</v>
      </c>
    </row>
    <row r="29" spans="2:12" ht="20.100000000000001" customHeight="1" x14ac:dyDescent="0.2">
      <c r="B29" s="1" t="s">
        <v>48</v>
      </c>
      <c r="C29" s="1">
        <v>122513</v>
      </c>
      <c r="D29" s="1">
        <v>193</v>
      </c>
      <c r="I29" s="1" t="str">
        <f t="shared" si="0"/>
        <v>El Mo</v>
      </c>
      <c r="J29" s="1" t="str">
        <f t="shared" si="1"/>
        <v>91734</v>
      </c>
      <c r="L29" s="1" t="str">
        <f t="shared" si="2"/>
        <v>El Monte, California 91734</v>
      </c>
    </row>
    <row r="30" spans="2:12" ht="20.100000000000001" customHeight="1" x14ac:dyDescent="0.2">
      <c r="B30" s="1" t="s">
        <v>49</v>
      </c>
      <c r="C30" s="1">
        <v>112338</v>
      </c>
      <c r="D30" s="1">
        <v>212</v>
      </c>
      <c r="I30" s="1" t="str">
        <f t="shared" si="0"/>
        <v>Elk G</v>
      </c>
      <c r="J30" s="1" t="str">
        <f t="shared" si="1"/>
        <v>95624</v>
      </c>
      <c r="L30" s="1" t="str">
        <f t="shared" si="2"/>
        <v>Elk Grove, California 95624</v>
      </c>
    </row>
    <row r="31" spans="2:12" ht="20.100000000000001" customHeight="1" x14ac:dyDescent="0.2">
      <c r="B31" s="1" t="s">
        <v>50</v>
      </c>
      <c r="C31" s="1">
        <v>134085</v>
      </c>
      <c r="D31" s="1">
        <v>175</v>
      </c>
      <c r="I31" s="1" t="str">
        <f t="shared" si="0"/>
        <v>Escon</v>
      </c>
      <c r="J31" s="1" t="str">
        <f t="shared" si="1"/>
        <v>92025</v>
      </c>
      <c r="L31" s="1" t="str">
        <f t="shared" si="2"/>
        <v>Escondido, California 92025</v>
      </c>
    </row>
    <row r="32" spans="2:12" ht="20.100000000000001" customHeight="1" x14ac:dyDescent="0.2">
      <c r="B32" s="1" t="s">
        <v>51</v>
      </c>
      <c r="C32" s="1">
        <v>104476</v>
      </c>
      <c r="D32" s="1">
        <v>235</v>
      </c>
      <c r="I32" s="1" t="str">
        <f t="shared" si="0"/>
        <v>Fairf</v>
      </c>
      <c r="J32" s="1" t="str">
        <f t="shared" si="1"/>
        <v>94533</v>
      </c>
      <c r="L32" s="1" t="str">
        <f t="shared" si="2"/>
        <v>Fairfield, California 94533</v>
      </c>
    </row>
    <row r="33" spans="2:12" ht="20.100000000000001" customHeight="1" x14ac:dyDescent="0.2">
      <c r="B33" s="1" t="s">
        <v>52</v>
      </c>
      <c r="C33" s="1">
        <v>163860</v>
      </c>
      <c r="D33" s="1">
        <v>138</v>
      </c>
      <c r="I33" s="1" t="str">
        <f t="shared" si="0"/>
        <v>Fonta</v>
      </c>
      <c r="J33" s="1" t="str">
        <f t="shared" si="1"/>
        <v>92335</v>
      </c>
      <c r="L33" s="1" t="str">
        <f t="shared" si="2"/>
        <v>Fontana, California 92335</v>
      </c>
    </row>
    <row r="34" spans="2:12" ht="20.100000000000001" customHeight="1" x14ac:dyDescent="0.2">
      <c r="B34" s="1" t="s">
        <v>53</v>
      </c>
      <c r="C34" s="1">
        <v>200468</v>
      </c>
      <c r="D34" s="1">
        <v>96</v>
      </c>
      <c r="I34" s="1" t="str">
        <f t="shared" si="0"/>
        <v>Fremo</v>
      </c>
      <c r="J34" s="1" t="str">
        <f t="shared" si="1"/>
        <v>94537</v>
      </c>
      <c r="L34" s="1" t="str">
        <f t="shared" si="2"/>
        <v>Fremont, California 94537</v>
      </c>
    </row>
    <row r="35" spans="2:12" ht="20.100000000000001" customHeight="1" x14ac:dyDescent="0.2">
      <c r="B35" s="1" t="s">
        <v>54</v>
      </c>
      <c r="C35" s="1">
        <v>461116</v>
      </c>
      <c r="D35" s="1">
        <v>36</v>
      </c>
      <c r="I35" s="1" t="str">
        <f t="shared" si="0"/>
        <v>Fresn</v>
      </c>
      <c r="J35" s="1" t="str">
        <f t="shared" si="1"/>
        <v>93706</v>
      </c>
      <c r="L35" s="1" t="str">
        <f t="shared" si="2"/>
        <v>Fresno, California 93706</v>
      </c>
    </row>
    <row r="36" spans="2:12" ht="20.100000000000001" customHeight="1" x14ac:dyDescent="0.2">
      <c r="B36" s="1" t="s">
        <v>55</v>
      </c>
      <c r="C36" s="1">
        <v>132787</v>
      </c>
      <c r="D36" s="1">
        <v>177</v>
      </c>
      <c r="I36" s="1" t="str">
        <f t="shared" si="0"/>
        <v>Fulle</v>
      </c>
      <c r="J36" s="1" t="str">
        <f t="shared" si="1"/>
        <v>92834</v>
      </c>
      <c r="L36" s="1" t="str">
        <f t="shared" si="2"/>
        <v>Fullerton, California 92834</v>
      </c>
    </row>
    <row r="37" spans="2:12" ht="20.100000000000001" customHeight="1" x14ac:dyDescent="0.2">
      <c r="B37" s="1" t="s">
        <v>56</v>
      </c>
      <c r="C37" s="1">
        <v>166075</v>
      </c>
      <c r="D37" s="1">
        <v>136</v>
      </c>
      <c r="I37" s="1" t="str">
        <f t="shared" si="0"/>
        <v>Garde</v>
      </c>
      <c r="J37" s="1" t="str">
        <f t="shared" si="1"/>
        <v>92842</v>
      </c>
      <c r="L37" s="1" t="str">
        <f t="shared" si="2"/>
        <v>Garden Grove, California 92842</v>
      </c>
    </row>
    <row r="38" spans="2:12" ht="20.100000000000001" customHeight="1" x14ac:dyDescent="0.2">
      <c r="B38" s="1" t="s">
        <v>57</v>
      </c>
      <c r="C38" s="1">
        <v>200065</v>
      </c>
      <c r="D38" s="1">
        <v>98</v>
      </c>
      <c r="I38" s="1" t="str">
        <f t="shared" si="0"/>
        <v>Glend</v>
      </c>
      <c r="J38" s="1" t="str">
        <f t="shared" si="1"/>
        <v>91205</v>
      </c>
      <c r="L38" s="1" t="str">
        <f t="shared" si="2"/>
        <v>Glendale, California 91205</v>
      </c>
    </row>
    <row r="39" spans="2:12" ht="20.100000000000001" customHeight="1" x14ac:dyDescent="0.2">
      <c r="B39" s="1" t="s">
        <v>58</v>
      </c>
      <c r="C39" s="1">
        <v>140293</v>
      </c>
      <c r="D39" s="1">
        <v>165</v>
      </c>
      <c r="I39" s="1" t="str">
        <f t="shared" si="0"/>
        <v>Haywa</v>
      </c>
      <c r="J39" s="1" t="str">
        <f t="shared" si="1"/>
        <v>94544</v>
      </c>
      <c r="L39" s="1" t="str">
        <f t="shared" si="2"/>
        <v>Hayward, California 94544</v>
      </c>
    </row>
    <row r="40" spans="2:12" ht="20.100000000000001" customHeight="1" x14ac:dyDescent="0.2">
      <c r="B40" s="1" t="s">
        <v>59</v>
      </c>
      <c r="C40" s="1">
        <v>194457</v>
      </c>
      <c r="D40" s="1">
        <v>105</v>
      </c>
      <c r="I40" s="1" t="str">
        <f t="shared" si="0"/>
        <v>Hunti</v>
      </c>
      <c r="J40" s="1" t="str">
        <f t="shared" si="1"/>
        <v>92647</v>
      </c>
      <c r="L40" s="1" t="str">
        <f t="shared" si="2"/>
        <v>Huntington Beach, California 92647</v>
      </c>
    </row>
    <row r="41" spans="2:12" ht="20.100000000000001" customHeight="1" x14ac:dyDescent="0.2">
      <c r="B41" s="1" t="s">
        <v>60</v>
      </c>
      <c r="C41" s="1">
        <v>114467</v>
      </c>
      <c r="D41" s="1">
        <v>207</v>
      </c>
      <c r="I41" s="1" t="str">
        <f t="shared" si="0"/>
        <v>Ingle</v>
      </c>
      <c r="J41" s="1" t="str">
        <f t="shared" si="1"/>
        <v>90301</v>
      </c>
      <c r="L41" s="1" t="str">
        <f t="shared" si="2"/>
        <v>Inglewood, California 90301</v>
      </c>
    </row>
    <row r="42" spans="2:12" ht="20.100000000000001" customHeight="1" x14ac:dyDescent="0.2">
      <c r="B42" s="1" t="s">
        <v>61</v>
      </c>
      <c r="C42" s="1">
        <v>186852</v>
      </c>
      <c r="D42" s="1">
        <v>114</v>
      </c>
      <c r="I42" s="1" t="str">
        <f t="shared" si="0"/>
        <v>Irvin</v>
      </c>
      <c r="J42" s="1" t="str">
        <f t="shared" si="1"/>
        <v>92619</v>
      </c>
      <c r="L42" s="1" t="str">
        <f t="shared" si="2"/>
        <v>Irvine, California 92619</v>
      </c>
    </row>
    <row r="43" spans="2:12" ht="20.100000000000001" customHeight="1" x14ac:dyDescent="0.2">
      <c r="B43" s="1" t="s">
        <v>62</v>
      </c>
      <c r="C43" s="1">
        <v>134032</v>
      </c>
      <c r="D43" s="1">
        <v>176</v>
      </c>
      <c r="I43" s="1" t="str">
        <f t="shared" si="0"/>
        <v>Lanca</v>
      </c>
      <c r="J43" s="1" t="str">
        <f t="shared" si="1"/>
        <v>93534</v>
      </c>
      <c r="L43" s="1" t="str">
        <f t="shared" si="2"/>
        <v>Lancaster, California 93534</v>
      </c>
    </row>
    <row r="44" spans="2:12" ht="20.100000000000001" customHeight="1" x14ac:dyDescent="0.2">
      <c r="B44" s="1" t="s">
        <v>63</v>
      </c>
      <c r="C44" s="1">
        <v>474014</v>
      </c>
      <c r="D44" s="1">
        <v>34</v>
      </c>
      <c r="I44" s="1" t="str">
        <f t="shared" si="0"/>
        <v xml:space="preserve">Long </v>
      </c>
      <c r="J44" s="1" t="str">
        <f t="shared" si="1"/>
        <v>90802</v>
      </c>
      <c r="L44" s="1" t="str">
        <f>TRIM(B44)</f>
        <v>Long Beach, California 90802</v>
      </c>
    </row>
    <row r="45" spans="2:12" ht="20.100000000000001" customHeight="1" x14ac:dyDescent="0.2">
      <c r="B45" s="1" t="s">
        <v>64</v>
      </c>
      <c r="C45" s="1">
        <v>3844829</v>
      </c>
      <c r="D45" s="1">
        <v>2</v>
      </c>
      <c r="I45" s="1" t="str">
        <f t="shared" si="0"/>
        <v>Los A</v>
      </c>
      <c r="J45" s="1" t="str">
        <f t="shared" si="1"/>
        <v>90052</v>
      </c>
      <c r="L45" s="1" t="str">
        <f>TRIM(B45)</f>
        <v>Los Angeles, California 90052</v>
      </c>
    </row>
    <row r="46" spans="2:12" ht="20.100000000000001" customHeight="1" x14ac:dyDescent="0.2">
      <c r="B46" s="1" t="s">
        <v>65</v>
      </c>
      <c r="C46" s="1">
        <v>207011</v>
      </c>
      <c r="D46" s="1">
        <v>93</v>
      </c>
      <c r="I46" s="1" t="str">
        <f t="shared" si="0"/>
        <v>Modes</v>
      </c>
      <c r="J46" s="1" t="str">
        <f t="shared" si="1"/>
        <v>95350</v>
      </c>
      <c r="L46" s="1" t="str">
        <f>TRIM(B46)</f>
        <v>Modesto, California 95350</v>
      </c>
    </row>
    <row r="47" spans="2:12" ht="20.100000000000001" customHeight="1" x14ac:dyDescent="0.2">
      <c r="B47" s="1" t="s">
        <v>66</v>
      </c>
      <c r="C47" s="1">
        <v>178367</v>
      </c>
      <c r="D47" s="1">
        <v>121</v>
      </c>
      <c r="I47" s="1" t="str">
        <f t="shared" si="0"/>
        <v>Moren</v>
      </c>
      <c r="J47" s="1" t="str">
        <f t="shared" si="1"/>
        <v>92553</v>
      </c>
      <c r="L47" s="1" t="str">
        <f>TRIM(B47)</f>
        <v>Moreno Valley, California 92553</v>
      </c>
    </row>
    <row r="48" spans="2:12" ht="20.100000000000001" customHeight="1" x14ac:dyDescent="0.2">
      <c r="B48" s="1" t="s">
        <v>67</v>
      </c>
      <c r="C48" s="1">
        <v>105834</v>
      </c>
      <c r="D48" s="1">
        <v>230</v>
      </c>
      <c r="I48" s="1" t="str">
        <f t="shared" si="0"/>
        <v>Norwa</v>
      </c>
      <c r="J48" s="1" t="str">
        <f t="shared" si="1"/>
        <v>90650</v>
      </c>
      <c r="L48" s="1" t="str">
        <f t="shared" ref="L48:L53" si="3">TRIM(B48)</f>
        <v>Norwalk, California 90650</v>
      </c>
    </row>
    <row r="49" spans="2:12" ht="20.100000000000001" customHeight="1" x14ac:dyDescent="0.2">
      <c r="B49" s="1" t="s">
        <v>68</v>
      </c>
      <c r="C49" s="1">
        <v>395274</v>
      </c>
      <c r="D49" s="1">
        <v>44</v>
      </c>
      <c r="I49" s="1" t="str">
        <f t="shared" si="0"/>
        <v>Oakla</v>
      </c>
      <c r="J49" s="1" t="str">
        <f t="shared" si="1"/>
        <v>94612</v>
      </c>
      <c r="L49" s="1" t="str">
        <f t="shared" si="3"/>
        <v>Oakland, California 94612</v>
      </c>
    </row>
    <row r="50" spans="2:12" ht="20.100000000000001" customHeight="1" x14ac:dyDescent="0.2">
      <c r="B50" s="1" t="s">
        <v>69</v>
      </c>
      <c r="C50" s="1">
        <v>166108</v>
      </c>
      <c r="D50" s="1">
        <v>135</v>
      </c>
      <c r="I50" s="1" t="str">
        <f t="shared" si="0"/>
        <v>Ocean</v>
      </c>
      <c r="J50" s="1" t="str">
        <f t="shared" si="1"/>
        <v>92054</v>
      </c>
      <c r="L50" s="1" t="str">
        <f t="shared" si="3"/>
        <v>Oceanside, California 92054</v>
      </c>
    </row>
    <row r="51" spans="2:12" ht="20.100000000000001" customHeight="1" x14ac:dyDescent="0.2">
      <c r="B51" s="1" t="s">
        <v>70</v>
      </c>
      <c r="C51" s="1">
        <v>172679</v>
      </c>
      <c r="D51" s="1">
        <v>128</v>
      </c>
      <c r="I51" s="1" t="str">
        <f t="shared" si="0"/>
        <v>Ontar</v>
      </c>
      <c r="J51" s="1" t="str">
        <f t="shared" si="1"/>
        <v>91761</v>
      </c>
      <c r="L51" s="1" t="str">
        <f t="shared" si="3"/>
        <v>Ontario, California 91761</v>
      </c>
    </row>
    <row r="52" spans="2:12" ht="20.100000000000001" customHeight="1" x14ac:dyDescent="0.2">
      <c r="B52" s="1" t="s">
        <v>71</v>
      </c>
      <c r="C52" s="1">
        <v>134950</v>
      </c>
      <c r="D52" s="1">
        <v>173</v>
      </c>
      <c r="I52" s="1" t="str">
        <f t="shared" si="0"/>
        <v>Orang</v>
      </c>
      <c r="J52" s="1" t="str">
        <f t="shared" si="1"/>
        <v>92863</v>
      </c>
      <c r="L52" s="1" t="str">
        <f t="shared" si="3"/>
        <v>Orange, California 92863</v>
      </c>
    </row>
    <row r="53" spans="2:12" ht="20.100000000000001" customHeight="1" x14ac:dyDescent="0.2">
      <c r="B53" s="1" t="s">
        <v>72</v>
      </c>
      <c r="C53" s="1">
        <v>183628</v>
      </c>
      <c r="D53" s="1">
        <v>117</v>
      </c>
      <c r="I53" s="1" t="str">
        <f t="shared" si="0"/>
        <v>Oxnar</v>
      </c>
      <c r="J53" s="1" t="str">
        <f t="shared" si="1"/>
        <v>93030</v>
      </c>
      <c r="L53" s="1" t="str">
        <f t="shared" si="3"/>
        <v>Oxnard, California 93030</v>
      </c>
    </row>
    <row r="54" spans="2:12" ht="20.100000000000001" customHeight="1" x14ac:dyDescent="0.2">
      <c r="B54" s="1" t="s">
        <v>73</v>
      </c>
      <c r="C54" s="1">
        <v>134570</v>
      </c>
      <c r="D54" s="1">
        <v>174</v>
      </c>
      <c r="I54" s="1" t="str">
        <f t="shared" si="0"/>
        <v>Palmd</v>
      </c>
      <c r="J54" s="1" t="str">
        <f t="shared" si="1"/>
        <v>93550</v>
      </c>
      <c r="L54" s="1" t="str">
        <f>TRIM(B54)</f>
        <v>Palmdale, California 93550</v>
      </c>
    </row>
    <row r="55" spans="2:12" ht="20.100000000000001" customHeight="1" x14ac:dyDescent="0.2">
      <c r="B55" s="1" t="s">
        <v>74</v>
      </c>
      <c r="C55" s="1">
        <v>143731</v>
      </c>
      <c r="D55" s="1">
        <v>160</v>
      </c>
      <c r="I55" s="1" t="str">
        <f t="shared" si="0"/>
        <v>Pasad</v>
      </c>
      <c r="J55" s="1" t="str">
        <f t="shared" si="1"/>
        <v>91103</v>
      </c>
      <c r="L55" s="1" t="str">
        <f>TRIM(B55)</f>
        <v>Pasadena, California 91103</v>
      </c>
    </row>
    <row r="56" spans="2:12" ht="20.100000000000001" customHeight="1" x14ac:dyDescent="0.2">
      <c r="B56" s="1" t="s">
        <v>75</v>
      </c>
      <c r="C56" s="1">
        <v>153787</v>
      </c>
      <c r="D56" s="1">
        <v>144</v>
      </c>
      <c r="I56" s="1" t="str">
        <f t="shared" si="0"/>
        <v>Pomon</v>
      </c>
      <c r="J56" s="1" t="str">
        <f t="shared" si="1"/>
        <v>91769</v>
      </c>
      <c r="L56" s="1" t="str">
        <f>TRIM(B56)</f>
        <v>Pomona, California 91769</v>
      </c>
    </row>
    <row r="57" spans="2:12" ht="20.100000000000001" customHeight="1" x14ac:dyDescent="0.2">
      <c r="B57" s="1" t="s">
        <v>76</v>
      </c>
      <c r="C57" s="1">
        <v>169353</v>
      </c>
      <c r="D57" s="1">
        <v>129</v>
      </c>
      <c r="I57" s="1" t="str">
        <f t="shared" si="0"/>
        <v>Ranch</v>
      </c>
      <c r="J57" s="1" t="str">
        <f t="shared" si="1"/>
        <v>91729</v>
      </c>
      <c r="L57" s="1" t="str">
        <f>TRIM(B57)</f>
        <v>Rancho Cucamonga, California 91729</v>
      </c>
    </row>
    <row r="58" spans="2:12" ht="20.100000000000001" customHeight="1" x14ac:dyDescent="0.2">
      <c r="B58" s="1" t="s">
        <v>77</v>
      </c>
      <c r="C58" s="1">
        <v>102186</v>
      </c>
      <c r="D58" s="1">
        <v>245</v>
      </c>
      <c r="I58" s="1" t="str">
        <f t="shared" si="0"/>
        <v>Richm</v>
      </c>
      <c r="J58" s="1" t="str">
        <f t="shared" si="1"/>
        <v>94801</v>
      </c>
      <c r="L58" s="1" t="str">
        <f t="shared" ref="L58:L59" si="4">TRIM(B58)</f>
        <v>Richmond, California 94801</v>
      </c>
    </row>
    <row r="59" spans="2:12" ht="20.100000000000001" customHeight="1" x14ac:dyDescent="0.2">
      <c r="B59" s="1" t="s">
        <v>78</v>
      </c>
      <c r="C59" s="1">
        <v>290086</v>
      </c>
      <c r="D59" s="1">
        <v>62</v>
      </c>
      <c r="I59" s="1" t="str">
        <f t="shared" si="0"/>
        <v>River</v>
      </c>
      <c r="J59" s="1" t="str">
        <f t="shared" si="1"/>
        <v>92507</v>
      </c>
      <c r="L59" s="1" t="str">
        <f t="shared" si="4"/>
        <v>Riverside, California 92507</v>
      </c>
    </row>
    <row r="60" spans="2:12" ht="20.100000000000001" customHeight="1" x14ac:dyDescent="0.2">
      <c r="B60" s="1" t="s">
        <v>79</v>
      </c>
      <c r="C60" s="1">
        <v>105940</v>
      </c>
      <c r="D60" s="1">
        <v>229</v>
      </c>
      <c r="I60" s="1" t="str">
        <f t="shared" si="0"/>
        <v>Rosev</v>
      </c>
      <c r="J60" s="1" t="str">
        <f t="shared" si="1"/>
        <v>95661</v>
      </c>
      <c r="L60" s="1" t="str">
        <f>TRIM(B60)</f>
        <v>Roseville, California 95661</v>
      </c>
    </row>
    <row r="61" spans="2:12" ht="20.100000000000001" customHeight="1" x14ac:dyDescent="0.2">
      <c r="B61" s="1" t="s">
        <v>80</v>
      </c>
      <c r="C61" s="1">
        <v>456441</v>
      </c>
      <c r="D61" s="1">
        <v>37</v>
      </c>
      <c r="I61" s="1" t="str">
        <f t="shared" si="0"/>
        <v>Sacra</v>
      </c>
      <c r="J61" s="1" t="str">
        <f t="shared" si="1"/>
        <v>95813</v>
      </c>
      <c r="L61" s="1" t="str">
        <f>TRIM(B61)</f>
        <v>Sacramento, California 95813</v>
      </c>
    </row>
    <row r="62" spans="2:12" ht="20.100000000000001" customHeight="1" x14ac:dyDescent="0.2">
      <c r="B62" s="1" t="s">
        <v>81</v>
      </c>
      <c r="C62" s="1">
        <v>146431</v>
      </c>
      <c r="D62" s="1">
        <v>153</v>
      </c>
      <c r="I62" s="1" t="str">
        <f t="shared" si="0"/>
        <v>Salin</v>
      </c>
      <c r="J62" s="1" t="str">
        <f t="shared" si="1"/>
        <v>93907</v>
      </c>
      <c r="L62" s="1" t="str">
        <f>TRIM(B62)</f>
        <v>Salinas, California 93907</v>
      </c>
    </row>
    <row r="63" spans="2:12" ht="20.100000000000001" customHeight="1" x14ac:dyDescent="0.2">
      <c r="B63" s="1" t="s">
        <v>82</v>
      </c>
      <c r="C63" s="1">
        <v>198550</v>
      </c>
      <c r="D63" s="1">
        <v>100</v>
      </c>
      <c r="I63" s="1" t="str">
        <f t="shared" si="0"/>
        <v>San B</v>
      </c>
      <c r="J63" s="1" t="str">
        <f t="shared" si="1"/>
        <v>92401</v>
      </c>
      <c r="L63" s="1" t="str">
        <f>TRIM(B63)</f>
        <v>San Bernardino, California 92401</v>
      </c>
    </row>
    <row r="64" spans="2:12" ht="20.100000000000001" customHeight="1" x14ac:dyDescent="0.2">
      <c r="B64" s="1" t="s">
        <v>83</v>
      </c>
      <c r="C64" s="1">
        <v>104017</v>
      </c>
      <c r="D64" s="1">
        <v>239</v>
      </c>
      <c r="I64" s="1" t="str">
        <f t="shared" si="0"/>
        <v>Ventu</v>
      </c>
      <c r="J64" s="1" t="str">
        <f t="shared" si="1"/>
        <v>93001</v>
      </c>
      <c r="L64" s="1" t="str">
        <f t="shared" ref="L64:L127" si="5">TRIM(B64)</f>
        <v>Ventura, California 93001</v>
      </c>
    </row>
    <row r="65" spans="2:12" ht="20.100000000000001" customHeight="1" x14ac:dyDescent="0.2">
      <c r="B65" s="1" t="s">
        <v>84</v>
      </c>
      <c r="C65" s="1">
        <v>1255540</v>
      </c>
      <c r="D65" s="1">
        <v>8</v>
      </c>
      <c r="I65" s="1" t="str">
        <f t="shared" si="0"/>
        <v>San D</v>
      </c>
      <c r="J65" s="1" t="str">
        <f t="shared" si="1"/>
        <v>92199</v>
      </c>
      <c r="L65" s="1" t="str">
        <f t="shared" si="5"/>
        <v>San Diego, California 92199</v>
      </c>
    </row>
    <row r="66" spans="2:12" ht="20.100000000000001" customHeight="1" x14ac:dyDescent="0.2">
      <c r="B66" s="1" t="s">
        <v>85</v>
      </c>
      <c r="C66" s="1">
        <v>739426</v>
      </c>
      <c r="D66" s="1">
        <v>14</v>
      </c>
      <c r="I66" s="1" t="str">
        <f t="shared" si="0"/>
        <v>San F</v>
      </c>
      <c r="J66" s="1" t="str">
        <f t="shared" si="1"/>
        <v>94188</v>
      </c>
      <c r="L66" s="1" t="str">
        <f t="shared" si="5"/>
        <v>San Francisco, California 94188</v>
      </c>
    </row>
    <row r="67" spans="2:12" ht="20.100000000000001" customHeight="1" x14ac:dyDescent="0.2">
      <c r="B67" s="1" t="s">
        <v>86</v>
      </c>
      <c r="C67" s="1">
        <v>912332</v>
      </c>
      <c r="D67" s="1">
        <v>10</v>
      </c>
      <c r="I67" s="1" t="str">
        <f t="shared" si="0"/>
        <v>San J</v>
      </c>
      <c r="J67" s="1" t="str">
        <f t="shared" si="1"/>
        <v>95101</v>
      </c>
      <c r="L67" s="1" t="str">
        <f t="shared" si="5"/>
        <v>San Jose, California 95101</v>
      </c>
    </row>
    <row r="68" spans="2:12" ht="20.100000000000001" customHeight="1" x14ac:dyDescent="0.2">
      <c r="B68" s="1" t="s">
        <v>87</v>
      </c>
      <c r="C68" s="1">
        <v>340368</v>
      </c>
      <c r="D68" s="1">
        <v>54</v>
      </c>
      <c r="I68" s="1" t="str">
        <f t="shared" ref="I68:I75" si="6">LEFT(B68,5)</f>
        <v>Santa</v>
      </c>
      <c r="J68" s="1" t="str">
        <f t="shared" si="1"/>
        <v>92711</v>
      </c>
      <c r="L68" s="1" t="str">
        <f t="shared" si="5"/>
        <v>Santa Ana, California 92711</v>
      </c>
    </row>
    <row r="69" spans="2:12" ht="20.100000000000001" customHeight="1" x14ac:dyDescent="0.2">
      <c r="B69" s="1" t="s">
        <v>88</v>
      </c>
      <c r="C69" s="1">
        <v>105402</v>
      </c>
      <c r="D69" s="1">
        <v>231</v>
      </c>
      <c r="I69" s="1" t="str">
        <f t="shared" si="6"/>
        <v>Santa</v>
      </c>
      <c r="J69" s="1" t="str">
        <f t="shared" si="1"/>
        <v>95050</v>
      </c>
      <c r="L69" s="1" t="str">
        <f t="shared" si="5"/>
        <v>Santa Clara, California 95050</v>
      </c>
    </row>
    <row r="70" spans="2:12" ht="20.100000000000001" customHeight="1" x14ac:dyDescent="0.2">
      <c r="B70" s="1" t="s">
        <v>89</v>
      </c>
      <c r="C70" s="1">
        <v>168253</v>
      </c>
      <c r="D70" s="1">
        <v>130</v>
      </c>
      <c r="I70" s="1" t="str">
        <f t="shared" si="6"/>
        <v>Santa</v>
      </c>
      <c r="J70" s="1" t="str">
        <f t="shared" ref="J70:J75" si="7">RIGHT(B70,5)</f>
        <v>91355</v>
      </c>
      <c r="L70" s="1" t="str">
        <f t="shared" si="5"/>
        <v>Santa Clarita, California 91355</v>
      </c>
    </row>
    <row r="71" spans="2:12" ht="20.100000000000001" customHeight="1" x14ac:dyDescent="0.2">
      <c r="B71" s="1" t="s">
        <v>90</v>
      </c>
      <c r="C71" s="1">
        <v>153158</v>
      </c>
      <c r="D71" s="1">
        <v>145</v>
      </c>
      <c r="I71" s="1" t="str">
        <f t="shared" si="6"/>
        <v>Santa</v>
      </c>
      <c r="J71" s="1" t="str">
        <f t="shared" si="7"/>
        <v>95402</v>
      </c>
      <c r="L71" s="1" t="str">
        <f t="shared" si="5"/>
        <v>Santa Rosa, California 95402</v>
      </c>
    </row>
    <row r="72" spans="2:12" ht="20.100000000000001" customHeight="1" x14ac:dyDescent="0.2">
      <c r="B72" s="1" t="s">
        <v>91</v>
      </c>
      <c r="C72" s="1">
        <v>118687</v>
      </c>
      <c r="D72" s="1">
        <v>198</v>
      </c>
      <c r="I72" s="1" t="str">
        <f t="shared" si="6"/>
        <v xml:space="preserve">Simi </v>
      </c>
      <c r="J72" s="1" t="str">
        <f t="shared" si="7"/>
        <v>93065</v>
      </c>
      <c r="L72" s="1" t="str">
        <f t="shared" si="5"/>
        <v>Simi Valley, California 93065</v>
      </c>
    </row>
    <row r="73" spans="2:12" ht="20.100000000000001" customHeight="1" x14ac:dyDescent="0.2">
      <c r="B73" s="1" t="s">
        <v>92</v>
      </c>
      <c r="C73" s="1">
        <v>286926</v>
      </c>
      <c r="D73" s="1">
        <v>63</v>
      </c>
      <c r="I73" s="1" t="str">
        <f t="shared" si="6"/>
        <v>Stock</v>
      </c>
      <c r="J73" s="1" t="str">
        <f t="shared" si="7"/>
        <v>95208</v>
      </c>
      <c r="L73" s="1" t="str">
        <f t="shared" si="5"/>
        <v>Stockton, California 95208</v>
      </c>
    </row>
    <row r="74" spans="2:12" ht="20.100000000000001" customHeight="1" x14ac:dyDescent="0.2">
      <c r="B74" s="1" t="s">
        <v>93</v>
      </c>
      <c r="C74" s="1">
        <v>128902</v>
      </c>
      <c r="D74" s="1">
        <v>181</v>
      </c>
      <c r="I74" s="1" t="str">
        <f t="shared" si="6"/>
        <v>Sunny</v>
      </c>
      <c r="J74" s="1" t="str">
        <f t="shared" si="7"/>
        <v>94086</v>
      </c>
      <c r="L74" s="1" t="str">
        <f t="shared" si="5"/>
        <v>Sunnyvale, California 94086</v>
      </c>
    </row>
    <row r="75" spans="2:12" ht="20.100000000000001" customHeight="1" x14ac:dyDescent="0.2">
      <c r="B75" s="1" t="s">
        <v>94</v>
      </c>
      <c r="C75" s="1">
        <v>124359</v>
      </c>
      <c r="D75" s="1">
        <v>189</v>
      </c>
      <c r="I75" s="1" t="str">
        <f t="shared" si="6"/>
        <v>Thous</v>
      </c>
      <c r="J75" s="1" t="str">
        <f t="shared" si="7"/>
        <v>91362</v>
      </c>
      <c r="L75" s="1" t="str">
        <f t="shared" si="5"/>
        <v>Thousand Oaks, California 91362</v>
      </c>
    </row>
    <row r="76" spans="2:12" ht="20.100000000000001" customHeight="1" x14ac:dyDescent="0.2">
      <c r="B76" s="1" t="s">
        <v>95</v>
      </c>
      <c r="C76" s="1">
        <v>142384</v>
      </c>
      <c r="D76" s="1">
        <v>161</v>
      </c>
      <c r="L76" s="1" t="str">
        <f t="shared" si="5"/>
        <v>Torrance, California 90503</v>
      </c>
    </row>
    <row r="77" spans="2:12" ht="20.100000000000001" customHeight="1" x14ac:dyDescent="0.2">
      <c r="B77" s="1" t="s">
        <v>96</v>
      </c>
      <c r="C77" s="1">
        <v>117483</v>
      </c>
      <c r="D77" s="1">
        <v>200</v>
      </c>
      <c r="L77" s="1" t="str">
        <f t="shared" si="5"/>
        <v>Vallejo, California 94590</v>
      </c>
    </row>
    <row r="78" spans="2:12" ht="20.100000000000001" customHeight="1" x14ac:dyDescent="0.2">
      <c r="B78" s="1" t="s">
        <v>97</v>
      </c>
      <c r="C78" s="1">
        <v>108669</v>
      </c>
      <c r="D78" s="1">
        <v>221</v>
      </c>
      <c r="L78" s="1" t="str">
        <f t="shared" si="5"/>
        <v>Visalia, California 93277</v>
      </c>
    </row>
    <row r="79" spans="2:12" ht="20.100000000000001" customHeight="1" x14ac:dyDescent="0.2">
      <c r="B79" s="1" t="s">
        <v>98</v>
      </c>
      <c r="C79" s="1">
        <v>108185</v>
      </c>
      <c r="D79" s="1">
        <v>222</v>
      </c>
      <c r="L79" s="1" t="str">
        <f t="shared" si="5"/>
        <v>West Covina, California 91793</v>
      </c>
    </row>
    <row r="80" spans="2:12" ht="20.100000000000001" customHeight="1" x14ac:dyDescent="0.2">
      <c r="B80" s="1" t="s">
        <v>99</v>
      </c>
      <c r="C80" s="1">
        <v>103966</v>
      </c>
      <c r="D80" s="1">
        <v>240</v>
      </c>
      <c r="L80" s="1" t="str">
        <f t="shared" si="5"/>
        <v>Arvada, Colorado 80004</v>
      </c>
    </row>
    <row r="81" spans="2:12" ht="20.100000000000001" customHeight="1" x14ac:dyDescent="0.2">
      <c r="B81" s="1" t="s">
        <v>100</v>
      </c>
      <c r="C81" s="1">
        <v>297235</v>
      </c>
      <c r="D81" s="1">
        <v>60</v>
      </c>
      <c r="L81" s="1" t="str">
        <f t="shared" si="5"/>
        <v>Aurora, Colorado 80017</v>
      </c>
    </row>
    <row r="82" spans="2:12" ht="20.100000000000001" customHeight="1" x14ac:dyDescent="0.2">
      <c r="B82" s="1" t="s">
        <v>101</v>
      </c>
      <c r="C82" s="1">
        <v>369815</v>
      </c>
      <c r="D82" s="1">
        <v>49</v>
      </c>
      <c r="L82" s="1" t="str">
        <f t="shared" si="5"/>
        <v>Colorado Springs, Colorado 80903</v>
      </c>
    </row>
    <row r="83" spans="2:12" ht="20.100000000000001" customHeight="1" x14ac:dyDescent="0.2">
      <c r="B83" s="1" t="s">
        <v>102</v>
      </c>
      <c r="C83" s="1">
        <v>557917</v>
      </c>
      <c r="D83" s="1">
        <v>25</v>
      </c>
      <c r="L83" s="1" t="str">
        <f t="shared" si="5"/>
        <v>Denver, Colorado 80202</v>
      </c>
    </row>
    <row r="84" spans="2:12" ht="20.100000000000001" customHeight="1" x14ac:dyDescent="0.2">
      <c r="B84" s="1" t="s">
        <v>103</v>
      </c>
      <c r="C84" s="1">
        <v>128026</v>
      </c>
      <c r="D84" s="1">
        <v>185</v>
      </c>
      <c r="L84" s="1" t="str">
        <f t="shared" si="5"/>
        <v>Fort Collins, Colorado 80525</v>
      </c>
    </row>
    <row r="85" spans="2:12" ht="20.100000000000001" customHeight="1" x14ac:dyDescent="0.2">
      <c r="B85" s="1" t="s">
        <v>104</v>
      </c>
      <c r="C85" s="1">
        <v>140671</v>
      </c>
      <c r="D85" s="1">
        <v>164</v>
      </c>
      <c r="L85" s="1" t="str">
        <f t="shared" si="5"/>
        <v>Lakewood, Colorado 80202</v>
      </c>
    </row>
    <row r="86" spans="2:12" ht="20.100000000000001" customHeight="1" x14ac:dyDescent="0.2">
      <c r="B86" s="1" t="s">
        <v>105</v>
      </c>
      <c r="C86" s="1">
        <v>103495</v>
      </c>
      <c r="D86" s="1">
        <v>241</v>
      </c>
      <c r="L86" s="1" t="str">
        <f t="shared" si="5"/>
        <v>Pueblo, Colorado 81003</v>
      </c>
    </row>
    <row r="87" spans="2:12" ht="20.100000000000001" customHeight="1" x14ac:dyDescent="0.2">
      <c r="B87" s="1" t="s">
        <v>106</v>
      </c>
      <c r="C87" s="1">
        <v>105182</v>
      </c>
      <c r="D87" s="1">
        <v>233</v>
      </c>
      <c r="L87" s="1" t="str">
        <f t="shared" si="5"/>
        <v>Thornton, Colorado 80221</v>
      </c>
    </row>
    <row r="88" spans="2:12" ht="20.100000000000001" customHeight="1" x14ac:dyDescent="0.2">
      <c r="B88" s="1" t="s">
        <v>107</v>
      </c>
      <c r="C88" s="1">
        <v>105084</v>
      </c>
      <c r="D88" s="1">
        <v>234</v>
      </c>
      <c r="L88" s="1" t="str">
        <f t="shared" si="5"/>
        <v>Westminster, Colorado 80030</v>
      </c>
    </row>
    <row r="89" spans="2:12" ht="20.100000000000001" customHeight="1" x14ac:dyDescent="0.2">
      <c r="B89" s="1" t="s">
        <v>108</v>
      </c>
      <c r="C89" s="1">
        <v>139008</v>
      </c>
      <c r="D89" s="1">
        <v>168</v>
      </c>
      <c r="L89" s="1" t="str">
        <f t="shared" si="5"/>
        <v>Bridgeport, Connecticut 06602</v>
      </c>
    </row>
    <row r="90" spans="2:12" ht="20.100000000000001" customHeight="1" x14ac:dyDescent="0.2">
      <c r="B90" s="1" t="s">
        <v>109</v>
      </c>
      <c r="C90" s="1">
        <v>124397</v>
      </c>
      <c r="D90" s="1">
        <v>188</v>
      </c>
      <c r="L90" s="1" t="str">
        <f t="shared" si="5"/>
        <v>Hartford, Connecticut 06101</v>
      </c>
    </row>
    <row r="91" spans="2:12" ht="20.100000000000001" customHeight="1" x14ac:dyDescent="0.2">
      <c r="B91" s="1" t="s">
        <v>110</v>
      </c>
      <c r="C91" s="1">
        <v>124791</v>
      </c>
      <c r="D91" s="1">
        <v>187</v>
      </c>
      <c r="L91" s="1" t="str">
        <f t="shared" si="5"/>
        <v>New Haven, Connecticut 06511</v>
      </c>
    </row>
    <row r="92" spans="2:12" ht="20.100000000000001" customHeight="1" x14ac:dyDescent="0.2">
      <c r="B92" s="1" t="s">
        <v>111</v>
      </c>
      <c r="C92" s="1">
        <v>120045</v>
      </c>
      <c r="D92" s="1">
        <v>196</v>
      </c>
      <c r="L92" s="1" t="str">
        <f t="shared" si="5"/>
        <v>Stamford, Connecticut 06904</v>
      </c>
    </row>
    <row r="93" spans="2:12" ht="20.100000000000001" customHeight="1" x14ac:dyDescent="0.2">
      <c r="B93" s="1" t="s">
        <v>112</v>
      </c>
      <c r="C93" s="1">
        <v>107902</v>
      </c>
      <c r="D93" s="1">
        <v>224</v>
      </c>
      <c r="L93" s="1" t="str">
        <f t="shared" si="5"/>
        <v>Waterbury, Connecticut 06702</v>
      </c>
    </row>
    <row r="94" spans="2:12" ht="20.100000000000001" customHeight="1" x14ac:dyDescent="0.2">
      <c r="B94" s="1" t="s">
        <v>113</v>
      </c>
      <c r="C94" s="1">
        <v>550521</v>
      </c>
      <c r="D94" s="1">
        <v>27</v>
      </c>
      <c r="L94" s="1" t="str">
        <f t="shared" si="5"/>
        <v>Washington, D.C. 20090</v>
      </c>
    </row>
    <row r="95" spans="2:12" ht="20.100000000000001" customHeight="1" x14ac:dyDescent="0.2">
      <c r="B95" s="1" t="s">
        <v>114</v>
      </c>
      <c r="C95" s="1">
        <v>140010</v>
      </c>
      <c r="D95" s="1">
        <v>166</v>
      </c>
      <c r="L95" s="1" t="str">
        <f t="shared" si="5"/>
        <v>Cape Coral, Florida 33909</v>
      </c>
    </row>
    <row r="96" spans="2:12" ht="20.100000000000001" customHeight="1" x14ac:dyDescent="0.2">
      <c r="B96" s="1" t="s">
        <v>115</v>
      </c>
      <c r="C96" s="1">
        <v>108687</v>
      </c>
      <c r="D96" s="1">
        <v>220</v>
      </c>
      <c r="L96" s="1" t="str">
        <f t="shared" si="5"/>
        <v>Clearwater, Florida 33990</v>
      </c>
    </row>
    <row r="97" spans="2:12" ht="20.100000000000001" customHeight="1" x14ac:dyDescent="0.2">
      <c r="B97" s="1" t="s">
        <v>116</v>
      </c>
      <c r="C97" s="1">
        <v>128804</v>
      </c>
      <c r="D97" s="1">
        <v>182</v>
      </c>
      <c r="L97" s="1" t="str">
        <f t="shared" si="5"/>
        <v>Coral Springs, Florida 33075</v>
      </c>
    </row>
    <row r="98" spans="2:12" ht="20.100000000000001" customHeight="1" x14ac:dyDescent="0.2">
      <c r="B98" s="1" t="s">
        <v>117</v>
      </c>
      <c r="C98" s="1">
        <v>167380</v>
      </c>
      <c r="D98" s="1">
        <v>133</v>
      </c>
      <c r="L98" s="1" t="str">
        <f t="shared" si="5"/>
        <v>Fort Lauderdale, Florida 33310</v>
      </c>
    </row>
    <row r="99" spans="2:12" ht="20.100000000000001" customHeight="1" x14ac:dyDescent="0.2">
      <c r="B99" s="1" t="s">
        <v>118</v>
      </c>
      <c r="C99" s="1">
        <v>108184</v>
      </c>
      <c r="D99" s="1">
        <v>223</v>
      </c>
      <c r="L99" s="1" t="str">
        <f t="shared" si="5"/>
        <v>Gainesville, Florida 32601</v>
      </c>
    </row>
    <row r="100" spans="2:12" ht="20.100000000000001" customHeight="1" x14ac:dyDescent="0.2">
      <c r="B100" s="1" t="s">
        <v>119</v>
      </c>
      <c r="C100" s="1">
        <v>220485</v>
      </c>
      <c r="D100" s="1">
        <v>84</v>
      </c>
      <c r="L100" s="1" t="str">
        <f t="shared" si="5"/>
        <v>Hialeah, Florida 33010</v>
      </c>
    </row>
    <row r="101" spans="2:12" ht="20.100000000000001" customHeight="1" x14ac:dyDescent="0.2">
      <c r="B101" s="1" t="s">
        <v>120</v>
      </c>
      <c r="C101" s="1">
        <v>145629</v>
      </c>
      <c r="D101" s="1">
        <v>154</v>
      </c>
      <c r="L101" s="1" t="str">
        <f t="shared" si="5"/>
        <v>Hollywood, Florida 33022</v>
      </c>
    </row>
    <row r="102" spans="2:12" ht="20.100000000000001" customHeight="1" x14ac:dyDescent="0.2">
      <c r="B102" s="1" t="s">
        <v>121</v>
      </c>
      <c r="C102" s="1">
        <v>782623</v>
      </c>
      <c r="D102" s="1">
        <v>13</v>
      </c>
      <c r="L102" s="1" t="str">
        <f t="shared" si="5"/>
        <v>Jacksonville, Florida 32203</v>
      </c>
    </row>
    <row r="103" spans="2:12" ht="20.100000000000001" customHeight="1" x14ac:dyDescent="0.2">
      <c r="B103" s="1" t="s">
        <v>122</v>
      </c>
      <c r="C103" s="1">
        <v>386417</v>
      </c>
      <c r="D103" s="1">
        <v>45</v>
      </c>
      <c r="L103" s="1" t="str">
        <f t="shared" si="5"/>
        <v>Miami, Florida 33152</v>
      </c>
    </row>
    <row r="104" spans="2:12" ht="20.100000000000001" customHeight="1" x14ac:dyDescent="0.2">
      <c r="B104" s="1" t="s">
        <v>123</v>
      </c>
      <c r="C104" s="1">
        <v>106623</v>
      </c>
      <c r="D104" s="1">
        <v>227</v>
      </c>
      <c r="L104" s="1" t="str">
        <f t="shared" si="5"/>
        <v>Miramar, Florida 33023</v>
      </c>
    </row>
    <row r="105" spans="2:12" ht="20.100000000000001" customHeight="1" x14ac:dyDescent="0.2">
      <c r="B105" s="1" t="s">
        <v>124</v>
      </c>
      <c r="C105" s="1">
        <v>213223</v>
      </c>
      <c r="D105" s="1">
        <v>87</v>
      </c>
      <c r="L105" s="1" t="str">
        <f t="shared" si="5"/>
        <v>Orlando, Florida 32802</v>
      </c>
    </row>
    <row r="106" spans="2:12" ht="20.100000000000001" customHeight="1" x14ac:dyDescent="0.2">
      <c r="B106" s="1" t="s">
        <v>125</v>
      </c>
      <c r="C106" s="1">
        <v>150380</v>
      </c>
      <c r="D106" s="1">
        <v>148</v>
      </c>
      <c r="L106" s="1" t="str">
        <f t="shared" si="5"/>
        <v>Pembroke Pines, Florida 33024</v>
      </c>
    </row>
    <row r="107" spans="2:12" ht="20.100000000000001" customHeight="1" x14ac:dyDescent="0.2">
      <c r="B107" s="1" t="s">
        <v>126</v>
      </c>
      <c r="C107" s="1">
        <v>104179</v>
      </c>
      <c r="D107" s="1">
        <v>236</v>
      </c>
      <c r="L107" s="1" t="str">
        <f t="shared" si="5"/>
        <v>Pompano Beach, Florida 33060</v>
      </c>
    </row>
    <row r="108" spans="2:12" ht="20.100000000000001" customHeight="1" x14ac:dyDescent="0.2">
      <c r="B108" s="1" t="s">
        <v>127</v>
      </c>
      <c r="C108" s="1">
        <v>131692</v>
      </c>
      <c r="D108" s="1">
        <v>178</v>
      </c>
      <c r="L108" s="1" t="str">
        <f t="shared" si="5"/>
        <v>Port St. Lucie, Florida 34952</v>
      </c>
    </row>
    <row r="109" spans="2:12" ht="20.100000000000001" customHeight="1" x14ac:dyDescent="0.2">
      <c r="B109" s="1" t="s">
        <v>128</v>
      </c>
      <c r="C109" s="1">
        <v>249079</v>
      </c>
      <c r="D109" s="1">
        <v>71</v>
      </c>
      <c r="L109" s="1" t="str">
        <f t="shared" si="5"/>
        <v>St. Petersburg, Florida 33730</v>
      </c>
    </row>
    <row r="110" spans="2:12" ht="20.100000000000001" customHeight="1" x14ac:dyDescent="0.2">
      <c r="B110" s="1" t="s">
        <v>129</v>
      </c>
      <c r="C110" s="1">
        <v>158500</v>
      </c>
      <c r="D110" s="1">
        <v>141</v>
      </c>
      <c r="L110" s="1" t="str">
        <f t="shared" si="5"/>
        <v>Tallahassee, Florida 32301</v>
      </c>
    </row>
    <row r="111" spans="2:12" ht="20.100000000000001" customHeight="1" x14ac:dyDescent="0.2">
      <c r="B111" s="1" t="s">
        <v>130</v>
      </c>
      <c r="C111" s="1">
        <v>325989</v>
      </c>
      <c r="D111" s="1">
        <v>56</v>
      </c>
      <c r="L111" s="1" t="str">
        <f t="shared" si="5"/>
        <v>Tampa, Florida 33630</v>
      </c>
    </row>
    <row r="112" spans="2:12" ht="20.100000000000001" customHeight="1" x14ac:dyDescent="0.2">
      <c r="B112" s="1" t="s">
        <v>131</v>
      </c>
      <c r="C112" s="1">
        <v>103238</v>
      </c>
      <c r="D112" s="1">
        <v>242</v>
      </c>
      <c r="L112" s="1" t="str">
        <f t="shared" si="5"/>
        <v>Athens, Georgia 30608</v>
      </c>
    </row>
    <row r="113" spans="2:12" ht="20.100000000000001" customHeight="1" x14ac:dyDescent="0.2">
      <c r="B113" s="1" t="s">
        <v>132</v>
      </c>
      <c r="C113" s="1">
        <v>470688</v>
      </c>
      <c r="D113" s="1">
        <v>35</v>
      </c>
      <c r="L113" s="1" t="str">
        <f t="shared" si="5"/>
        <v>Atlanta, Georgia 30304</v>
      </c>
    </row>
    <row r="114" spans="2:12" ht="20.100000000000001" customHeight="1" x14ac:dyDescent="0.2">
      <c r="B114" s="1" t="s">
        <v>133</v>
      </c>
      <c r="C114" s="1">
        <v>190782</v>
      </c>
      <c r="D114" s="1">
        <v>113</v>
      </c>
      <c r="L114" s="1" t="str">
        <f t="shared" si="5"/>
        <v>Augusta, Georgia 30901</v>
      </c>
    </row>
    <row r="115" spans="2:12" ht="20.100000000000001" customHeight="1" x14ac:dyDescent="0.2">
      <c r="B115" s="1" t="s">
        <v>134</v>
      </c>
      <c r="C115" s="1">
        <v>185271</v>
      </c>
      <c r="D115" s="1">
        <v>115</v>
      </c>
      <c r="L115" s="1" t="str">
        <f t="shared" si="5"/>
        <v>Columbus, Georgia 31908</v>
      </c>
    </row>
    <row r="116" spans="2:12" ht="20.100000000000001" customHeight="1" x14ac:dyDescent="0.2">
      <c r="B116" s="1" t="s">
        <v>135</v>
      </c>
      <c r="C116" s="1">
        <v>128453</v>
      </c>
      <c r="D116" s="1">
        <v>183</v>
      </c>
      <c r="L116" s="1" t="str">
        <f t="shared" si="5"/>
        <v>Savannah, Georgia 31402</v>
      </c>
    </row>
    <row r="117" spans="2:12" ht="20.100000000000001" customHeight="1" x14ac:dyDescent="0.2">
      <c r="B117" s="1" t="s">
        <v>136</v>
      </c>
      <c r="C117" s="1">
        <v>377379</v>
      </c>
      <c r="D117" s="1">
        <v>47</v>
      </c>
      <c r="L117" s="1" t="str">
        <f t="shared" si="5"/>
        <v>Honolulu, Hawaii 96820</v>
      </c>
    </row>
    <row r="118" spans="2:12" ht="20.100000000000001" customHeight="1" x14ac:dyDescent="0.2">
      <c r="B118" s="1" t="s">
        <v>137</v>
      </c>
      <c r="C118" s="1">
        <v>193161</v>
      </c>
      <c r="D118" s="1">
        <v>111</v>
      </c>
      <c r="L118" s="1" t="str">
        <f t="shared" si="5"/>
        <v>Boise, Idaho 83708</v>
      </c>
    </row>
    <row r="119" spans="2:12" ht="20.100000000000001" customHeight="1" x14ac:dyDescent="0.2">
      <c r="B119" s="1" t="s">
        <v>138</v>
      </c>
      <c r="C119" s="1">
        <v>168181</v>
      </c>
      <c r="D119" s="1">
        <v>131</v>
      </c>
      <c r="L119" s="1" t="str">
        <f t="shared" si="5"/>
        <v>Aurora, Illinois 60505</v>
      </c>
    </row>
    <row r="120" spans="2:12" ht="20.100000000000001" customHeight="1" x14ac:dyDescent="0.2">
      <c r="B120" s="1" t="s">
        <v>139</v>
      </c>
      <c r="C120" s="1">
        <v>2842518</v>
      </c>
      <c r="D120" s="1">
        <v>3</v>
      </c>
      <c r="L120" s="1" t="str">
        <f t="shared" si="5"/>
        <v>Chicago, Illinois 60607</v>
      </c>
    </row>
    <row r="121" spans="2:12" ht="20.100000000000001" customHeight="1" x14ac:dyDescent="0.2">
      <c r="B121" s="1" t="s">
        <v>140</v>
      </c>
      <c r="C121" s="1">
        <v>136208</v>
      </c>
      <c r="D121" s="1">
        <v>170</v>
      </c>
      <c r="L121" s="1" t="str">
        <f t="shared" si="5"/>
        <v>Joliet, Illinois 60436</v>
      </c>
    </row>
    <row r="122" spans="2:12" ht="20.100000000000001" customHeight="1" x14ac:dyDescent="0.2">
      <c r="B122" s="1" t="s">
        <v>141</v>
      </c>
      <c r="C122" s="1">
        <v>141579</v>
      </c>
      <c r="D122" s="1">
        <v>163</v>
      </c>
      <c r="L122" s="1" t="str">
        <f t="shared" si="5"/>
        <v>Naperville, Illinois 60540</v>
      </c>
    </row>
    <row r="123" spans="2:12" ht="20.100000000000001" customHeight="1" x14ac:dyDescent="0.2">
      <c r="B123" s="1" t="s">
        <v>142</v>
      </c>
      <c r="C123" s="1">
        <v>112685</v>
      </c>
      <c r="D123" s="1">
        <v>211</v>
      </c>
      <c r="L123" s="1" t="str">
        <f t="shared" si="5"/>
        <v>Peoria, Illinois 61601</v>
      </c>
    </row>
    <row r="124" spans="2:12" ht="20.100000000000001" customHeight="1" x14ac:dyDescent="0.2">
      <c r="B124" s="1" t="s">
        <v>143</v>
      </c>
      <c r="C124" s="1">
        <v>152916</v>
      </c>
      <c r="D124" s="1">
        <v>146</v>
      </c>
      <c r="L124" s="1" t="str">
        <f t="shared" si="5"/>
        <v>Rockford, Illinois 61125</v>
      </c>
    </row>
    <row r="125" spans="2:12" ht="20.100000000000001" customHeight="1" x14ac:dyDescent="0.2">
      <c r="B125" s="1" t="s">
        <v>144</v>
      </c>
      <c r="C125" s="1">
        <v>115668</v>
      </c>
      <c r="D125" s="1">
        <v>204</v>
      </c>
      <c r="L125" s="1" t="str">
        <f t="shared" si="5"/>
        <v>Springfield, Illinois 62703</v>
      </c>
    </row>
    <row r="126" spans="2:12" ht="20.100000000000001" customHeight="1" x14ac:dyDescent="0.2">
      <c r="B126" s="1" t="s">
        <v>145</v>
      </c>
      <c r="C126" s="1">
        <v>115918</v>
      </c>
      <c r="D126" s="1">
        <v>203</v>
      </c>
      <c r="L126" s="1" t="str">
        <f t="shared" si="5"/>
        <v>Evansville, Indiana 47708</v>
      </c>
    </row>
    <row r="127" spans="2:12" ht="20.100000000000001" customHeight="1" x14ac:dyDescent="0.2">
      <c r="B127" s="1" t="s">
        <v>146</v>
      </c>
      <c r="C127" s="1">
        <v>223341</v>
      </c>
      <c r="D127" s="1">
        <v>81</v>
      </c>
      <c r="L127" s="1" t="str">
        <f t="shared" si="5"/>
        <v>Fort Wayne, Indiana 46802</v>
      </c>
    </row>
    <row r="128" spans="2:12" ht="20.100000000000001" customHeight="1" x14ac:dyDescent="0.2">
      <c r="B128" s="1" t="s">
        <v>147</v>
      </c>
      <c r="C128" s="1">
        <v>784118</v>
      </c>
      <c r="D128" s="1">
        <v>12</v>
      </c>
      <c r="L128" s="1" t="str">
        <f t="shared" ref="L128:L186" si="8">TRIM(B128)</f>
        <v>Indianapolis, Indiana 46206</v>
      </c>
    </row>
    <row r="129" spans="2:12" ht="20.100000000000001" customHeight="1" x14ac:dyDescent="0.2">
      <c r="B129" s="1" t="s">
        <v>148</v>
      </c>
      <c r="C129" s="1">
        <v>105262</v>
      </c>
      <c r="D129" s="1">
        <v>232</v>
      </c>
      <c r="L129" s="1" t="str">
        <f t="shared" si="8"/>
        <v>South Bend, Indiana 46624</v>
      </c>
    </row>
    <row r="130" spans="2:12" ht="20.100000000000001" customHeight="1" x14ac:dyDescent="0.2">
      <c r="B130" s="1" t="s">
        <v>149</v>
      </c>
      <c r="C130" s="1">
        <v>123119</v>
      </c>
      <c r="D130" s="1">
        <v>192</v>
      </c>
      <c r="L130" s="1" t="str">
        <f t="shared" si="8"/>
        <v>Cedar Rapids, Iowa 52401</v>
      </c>
    </row>
    <row r="131" spans="2:12" ht="20.100000000000001" customHeight="1" x14ac:dyDescent="0.2">
      <c r="B131" s="1" t="s">
        <v>150</v>
      </c>
      <c r="C131" s="1">
        <v>194163</v>
      </c>
      <c r="D131" s="1">
        <v>106</v>
      </c>
      <c r="L131" s="1" t="str">
        <f t="shared" si="8"/>
        <v>Des Moines, Iowa 50318</v>
      </c>
    </row>
    <row r="132" spans="2:12" ht="20.100000000000001" customHeight="1" x14ac:dyDescent="0.2">
      <c r="B132" s="1" t="s">
        <v>151</v>
      </c>
      <c r="C132" s="1">
        <v>144210</v>
      </c>
      <c r="D132" s="1">
        <v>158</v>
      </c>
      <c r="L132" s="1" t="str">
        <f t="shared" si="8"/>
        <v>Kansas City, Kansas 66106</v>
      </c>
    </row>
    <row r="133" spans="2:12" ht="20.100000000000001" customHeight="1" x14ac:dyDescent="0.2">
      <c r="B133" s="1" t="s">
        <v>152</v>
      </c>
      <c r="C133" s="1">
        <v>111334</v>
      </c>
      <c r="D133" s="1">
        <v>215</v>
      </c>
      <c r="L133" s="1" t="str">
        <f t="shared" si="8"/>
        <v>Olathe, Kansas 66051</v>
      </c>
    </row>
    <row r="134" spans="2:12" ht="20.100000000000001" customHeight="1" x14ac:dyDescent="0.2">
      <c r="B134" s="1" t="s">
        <v>153</v>
      </c>
      <c r="C134" s="1">
        <v>164811</v>
      </c>
      <c r="D134" s="1">
        <v>137</v>
      </c>
      <c r="L134" s="1" t="str">
        <f t="shared" si="8"/>
        <v>Overland Park, Kansas 66204</v>
      </c>
    </row>
    <row r="135" spans="2:12" ht="20.100000000000001" customHeight="1" x14ac:dyDescent="0.2">
      <c r="B135" s="1" t="s">
        <v>154</v>
      </c>
      <c r="C135" s="1">
        <v>121946</v>
      </c>
      <c r="D135" s="1">
        <v>194</v>
      </c>
      <c r="L135" s="1" t="str">
        <f t="shared" si="8"/>
        <v>Topeka, Kansas 66603</v>
      </c>
    </row>
    <row r="136" spans="2:12" ht="20.100000000000001" customHeight="1" x14ac:dyDescent="0.2">
      <c r="B136" s="1" t="s">
        <v>155</v>
      </c>
      <c r="C136" s="1">
        <v>354865</v>
      </c>
      <c r="D136" s="1">
        <v>51</v>
      </c>
      <c r="L136" s="1" t="str">
        <f t="shared" si="8"/>
        <v>Wichita, Kansas 67276</v>
      </c>
    </row>
    <row r="137" spans="2:12" ht="20.100000000000001" customHeight="1" x14ac:dyDescent="0.2">
      <c r="B137" s="1" t="s">
        <v>156</v>
      </c>
      <c r="C137" s="1">
        <v>268080</v>
      </c>
      <c r="D137" s="1">
        <v>69</v>
      </c>
      <c r="L137" s="1" t="str">
        <f t="shared" si="8"/>
        <v>Lexington, Kentucky 40511</v>
      </c>
    </row>
    <row r="138" spans="2:12" ht="20.100000000000001" customHeight="1" x14ac:dyDescent="0.2">
      <c r="B138" s="1" t="s">
        <v>157</v>
      </c>
      <c r="C138" s="1">
        <v>556429</v>
      </c>
      <c r="D138" s="1">
        <v>26</v>
      </c>
      <c r="L138" s="1" t="str">
        <f t="shared" si="8"/>
        <v>Louisville, Kentucky 40231</v>
      </c>
    </row>
    <row r="139" spans="2:12" ht="20.100000000000001" customHeight="1" x14ac:dyDescent="0.2">
      <c r="B139" s="1" t="s">
        <v>158</v>
      </c>
      <c r="C139" s="1">
        <v>222064</v>
      </c>
      <c r="D139" s="1">
        <v>82</v>
      </c>
      <c r="L139" s="1" t="str">
        <f t="shared" si="8"/>
        <v>Baton Rouge, Louisiana 70826</v>
      </c>
    </row>
    <row r="140" spans="2:12" ht="20.100000000000001" customHeight="1" x14ac:dyDescent="0.2">
      <c r="B140" s="1" t="s">
        <v>159</v>
      </c>
      <c r="C140" s="1">
        <v>112030</v>
      </c>
      <c r="D140" s="1">
        <v>213</v>
      </c>
      <c r="L140" s="1" t="str">
        <f t="shared" si="8"/>
        <v>Lafayette, Louisiana 70509</v>
      </c>
    </row>
    <row r="141" spans="2:12" ht="20.100000000000001" customHeight="1" x14ac:dyDescent="0.2">
      <c r="B141" s="1" t="s">
        <v>160</v>
      </c>
      <c r="C141" s="1">
        <v>454863</v>
      </c>
      <c r="D141" s="1">
        <v>38</v>
      </c>
      <c r="L141" s="1" t="str">
        <f t="shared" si="8"/>
        <v>New Orleans, Louisiana 70113</v>
      </c>
    </row>
    <row r="142" spans="2:12" ht="20.100000000000001" customHeight="1" x14ac:dyDescent="0.2">
      <c r="B142" s="1" t="s">
        <v>161</v>
      </c>
      <c r="C142" s="1">
        <v>198874</v>
      </c>
      <c r="D142" s="1">
        <v>99</v>
      </c>
      <c r="L142" s="1" t="str">
        <f t="shared" si="8"/>
        <v>Shreveport, Louisiana 71102</v>
      </c>
    </row>
    <row r="143" spans="2:12" ht="20.100000000000001" customHeight="1" x14ac:dyDescent="0.2">
      <c r="B143" s="1" t="s">
        <v>162</v>
      </c>
      <c r="C143" s="1">
        <v>635815</v>
      </c>
      <c r="D143" s="1">
        <v>18</v>
      </c>
      <c r="L143" s="1" t="str">
        <f t="shared" si="8"/>
        <v>Baltimore, Maryland 21202</v>
      </c>
    </row>
    <row r="144" spans="2:12" ht="20.100000000000001" customHeight="1" x14ac:dyDescent="0.2">
      <c r="B144" s="1" t="s">
        <v>163</v>
      </c>
      <c r="C144" s="1">
        <v>559034</v>
      </c>
      <c r="D144" s="1">
        <v>24</v>
      </c>
      <c r="L144" s="1" t="str">
        <f t="shared" si="8"/>
        <v>Boston, Massachusetts 02205</v>
      </c>
    </row>
    <row r="145" spans="2:12" ht="20.100000000000001" customHeight="1" x14ac:dyDescent="0.2">
      <c r="B145" s="1" t="s">
        <v>164</v>
      </c>
      <c r="C145" s="1">
        <v>100135</v>
      </c>
      <c r="D145" s="1">
        <v>253</v>
      </c>
      <c r="L145" s="1" t="str">
        <f t="shared" si="8"/>
        <v>Cambridge, Massachusetts 02139</v>
      </c>
    </row>
    <row r="146" spans="2:12" ht="20.100000000000001" customHeight="1" x14ac:dyDescent="0.2">
      <c r="B146" s="1" t="s">
        <v>165</v>
      </c>
      <c r="C146" s="1">
        <v>103111</v>
      </c>
      <c r="D146" s="1">
        <v>243</v>
      </c>
      <c r="L146" s="1" t="str">
        <f t="shared" si="8"/>
        <v>Lowell, Massachusetts 01853</v>
      </c>
    </row>
    <row r="147" spans="2:12" ht="20.100000000000001" customHeight="1" x14ac:dyDescent="0.2">
      <c r="B147" s="1" t="s">
        <v>166</v>
      </c>
      <c r="C147" s="1">
        <v>151732</v>
      </c>
      <c r="D147" s="1">
        <v>147</v>
      </c>
      <c r="L147" s="1" t="str">
        <f t="shared" si="8"/>
        <v>Springfield, Massachusetts 01101</v>
      </c>
    </row>
    <row r="148" spans="2:12" ht="20.100000000000001" customHeight="1" x14ac:dyDescent="0.2">
      <c r="B148" s="1" t="s">
        <v>167</v>
      </c>
      <c r="C148" s="1">
        <v>175898</v>
      </c>
      <c r="D148" s="1">
        <v>126</v>
      </c>
      <c r="L148" s="1" t="str">
        <f t="shared" si="8"/>
        <v>Worcester, Massachusetts 01613</v>
      </c>
    </row>
    <row r="149" spans="2:12" ht="20.100000000000001" customHeight="1" x14ac:dyDescent="0.2">
      <c r="B149" s="1" t="s">
        <v>168</v>
      </c>
      <c r="C149" s="1">
        <v>113271</v>
      </c>
      <c r="D149" s="1">
        <v>209</v>
      </c>
      <c r="L149" s="1" t="str">
        <f t="shared" si="8"/>
        <v>Ann Arbor, Michigan 48104</v>
      </c>
    </row>
    <row r="150" spans="2:12" ht="20.100000000000001" customHeight="1" x14ac:dyDescent="0.2">
      <c r="B150" s="1" t="s">
        <v>169</v>
      </c>
      <c r="C150" s="1">
        <v>886671</v>
      </c>
      <c r="D150" s="1">
        <v>11</v>
      </c>
      <c r="L150" s="1" t="str">
        <f t="shared" si="8"/>
        <v>Detroit, Michigan 48233</v>
      </c>
    </row>
    <row r="151" spans="2:12" ht="20.100000000000001" customHeight="1" x14ac:dyDescent="0.2">
      <c r="B151" s="1" t="s">
        <v>170</v>
      </c>
      <c r="C151" s="1">
        <v>118551</v>
      </c>
      <c r="D151" s="1">
        <v>199</v>
      </c>
      <c r="L151" s="1" t="str">
        <f t="shared" si="8"/>
        <v>Flint, Michigan 48502</v>
      </c>
    </row>
    <row r="152" spans="2:12" ht="20.100000000000001" customHeight="1" x14ac:dyDescent="0.2">
      <c r="B152" s="1" t="s">
        <v>171</v>
      </c>
      <c r="C152" s="1">
        <v>193780</v>
      </c>
      <c r="D152" s="1">
        <v>107</v>
      </c>
      <c r="L152" s="1" t="str">
        <f t="shared" si="8"/>
        <v>Grand Rapids, Michigan 49501</v>
      </c>
    </row>
    <row r="153" spans="2:12" ht="20.100000000000001" customHeight="1" x14ac:dyDescent="0.2">
      <c r="B153" s="1" t="s">
        <v>172</v>
      </c>
      <c r="C153" s="1">
        <v>115518</v>
      </c>
      <c r="D153" s="1">
        <v>205</v>
      </c>
      <c r="L153" s="1" t="str">
        <f t="shared" si="8"/>
        <v>Lansing, Michigan 48924</v>
      </c>
    </row>
    <row r="154" spans="2:12" ht="20.100000000000001" customHeight="1" x14ac:dyDescent="0.2">
      <c r="B154" s="1" t="s">
        <v>173</v>
      </c>
      <c r="C154" s="1">
        <v>128034</v>
      </c>
      <c r="D154" s="1">
        <v>184</v>
      </c>
      <c r="L154" s="1" t="str">
        <f t="shared" si="8"/>
        <v>Sterling Heights, Michigan 48311</v>
      </c>
    </row>
    <row r="155" spans="2:12" ht="20.100000000000001" customHeight="1" x14ac:dyDescent="0.2">
      <c r="B155" s="1" t="s">
        <v>174</v>
      </c>
      <c r="C155" s="1">
        <v>135311</v>
      </c>
      <c r="D155" s="1">
        <v>172</v>
      </c>
      <c r="L155" s="1" t="str">
        <f t="shared" si="8"/>
        <v>Warren, Michigan 48090</v>
      </c>
    </row>
    <row r="156" spans="2:12" ht="20.100000000000001" customHeight="1" x14ac:dyDescent="0.2">
      <c r="B156" s="1" t="s">
        <v>175</v>
      </c>
      <c r="C156" s="1">
        <v>372811</v>
      </c>
      <c r="D156" s="1">
        <v>48</v>
      </c>
      <c r="L156" s="1" t="str">
        <f t="shared" si="8"/>
        <v>Minneapolis, Minnesota 55401</v>
      </c>
    </row>
    <row r="157" spans="2:12" ht="20.100000000000001" customHeight="1" x14ac:dyDescent="0.2">
      <c r="B157" s="1" t="s">
        <v>176</v>
      </c>
      <c r="C157" s="1">
        <v>275150</v>
      </c>
      <c r="D157" s="1">
        <v>67</v>
      </c>
      <c r="L157" s="1" t="str">
        <f t="shared" si="8"/>
        <v>St. Paul, Minnesota 55109</v>
      </c>
    </row>
    <row r="158" spans="2:12" ht="20.100000000000001" customHeight="1" x14ac:dyDescent="0.2">
      <c r="B158" s="1" t="s">
        <v>177</v>
      </c>
      <c r="C158" s="1">
        <v>177977</v>
      </c>
      <c r="D158" s="1">
        <v>123</v>
      </c>
      <c r="L158" s="1" t="str">
        <f t="shared" si="8"/>
        <v>Jackson, Mississippi 39205</v>
      </c>
    </row>
    <row r="159" spans="2:12" ht="20.100000000000001" customHeight="1" x14ac:dyDescent="0.2">
      <c r="B159" s="1" t="s">
        <v>178</v>
      </c>
      <c r="C159" s="1">
        <v>110208</v>
      </c>
      <c r="D159" s="1">
        <v>216</v>
      </c>
      <c r="L159" s="1" t="str">
        <f t="shared" si="8"/>
        <v>Independence, Missouri 64052</v>
      </c>
    </row>
    <row r="160" spans="2:12" ht="20.100000000000001" customHeight="1" x14ac:dyDescent="0.2">
      <c r="B160" s="1" t="s">
        <v>179</v>
      </c>
      <c r="C160" s="1">
        <v>444965</v>
      </c>
      <c r="D160" s="1">
        <v>40</v>
      </c>
      <c r="L160" s="1" t="str">
        <f t="shared" si="8"/>
        <v>Kansas City, Missouri 64108</v>
      </c>
    </row>
    <row r="161" spans="2:12" ht="20.100000000000001" customHeight="1" x14ac:dyDescent="0.2">
      <c r="B161" s="1" t="s">
        <v>180</v>
      </c>
      <c r="C161" s="1">
        <v>150298</v>
      </c>
      <c r="D161" s="1">
        <v>149</v>
      </c>
      <c r="L161" s="1" t="str">
        <f t="shared" si="8"/>
        <v>Springfield, Missouri 65801</v>
      </c>
    </row>
    <row r="162" spans="2:12" ht="20.100000000000001" customHeight="1" x14ac:dyDescent="0.2">
      <c r="B162" s="1" t="s">
        <v>181</v>
      </c>
      <c r="C162" s="1">
        <v>344362</v>
      </c>
      <c r="D162" s="1">
        <v>52</v>
      </c>
      <c r="L162" s="1" t="str">
        <f t="shared" si="8"/>
        <v>St. Louis, Missouri 63155</v>
      </c>
    </row>
    <row r="163" spans="2:12" ht="20.100000000000001" customHeight="1" x14ac:dyDescent="0.2">
      <c r="B163" s="1" t="s">
        <v>182</v>
      </c>
      <c r="C163" s="1">
        <v>239213</v>
      </c>
      <c r="D163" s="1">
        <v>74</v>
      </c>
      <c r="L163" s="1" t="str">
        <f t="shared" si="8"/>
        <v>Lincoln, Nebraska 68501</v>
      </c>
    </row>
    <row r="164" spans="2:12" ht="20.100000000000001" customHeight="1" x14ac:dyDescent="0.2">
      <c r="B164" s="1" t="s">
        <v>183</v>
      </c>
      <c r="C164" s="1">
        <v>414521</v>
      </c>
      <c r="D164" s="1">
        <v>43</v>
      </c>
      <c r="L164" s="1" t="str">
        <f t="shared" si="8"/>
        <v>Omaha, Nebraska 68108</v>
      </c>
    </row>
    <row r="165" spans="2:12" ht="20.100000000000001" customHeight="1" x14ac:dyDescent="0.2">
      <c r="B165" s="1" t="s">
        <v>184</v>
      </c>
      <c r="C165" s="1">
        <v>232146</v>
      </c>
      <c r="D165" s="1">
        <v>76</v>
      </c>
      <c r="L165" s="1" t="str">
        <f t="shared" si="8"/>
        <v>Henderson, Nevada 89015</v>
      </c>
    </row>
    <row r="166" spans="2:12" ht="20.100000000000001" customHeight="1" x14ac:dyDescent="0.2">
      <c r="B166" s="1" t="s">
        <v>185</v>
      </c>
      <c r="C166" s="1">
        <v>545147</v>
      </c>
      <c r="D166" s="1">
        <v>29</v>
      </c>
      <c r="L166" s="1" t="str">
        <f t="shared" si="8"/>
        <v>Las Vegas, Nevada 89199</v>
      </c>
    </row>
    <row r="167" spans="2:12" ht="20.100000000000001" customHeight="1" x14ac:dyDescent="0.2">
      <c r="B167" s="1" t="s">
        <v>186</v>
      </c>
      <c r="C167" s="1">
        <v>176635</v>
      </c>
      <c r="D167" s="1">
        <v>125</v>
      </c>
      <c r="L167" s="1" t="str">
        <f t="shared" si="8"/>
        <v>North Las Vegas, Nevada 89030</v>
      </c>
    </row>
    <row r="168" spans="2:12" ht="20.100000000000001" customHeight="1" x14ac:dyDescent="0.2">
      <c r="B168" s="1" t="s">
        <v>187</v>
      </c>
      <c r="C168" s="1">
        <v>203550</v>
      </c>
      <c r="D168" s="1">
        <v>95</v>
      </c>
      <c r="L168" s="1" t="str">
        <f t="shared" si="8"/>
        <v>Reno, Nevada 89510</v>
      </c>
    </row>
    <row r="169" spans="2:12" ht="20.100000000000001" customHeight="1" x14ac:dyDescent="0.2">
      <c r="B169" s="1" t="s">
        <v>188</v>
      </c>
      <c r="C169" s="1">
        <v>109691</v>
      </c>
      <c r="D169" s="1">
        <v>219</v>
      </c>
      <c r="L169" s="1" t="str">
        <f t="shared" si="8"/>
        <v>Manchester, New Hampshire 03103</v>
      </c>
    </row>
    <row r="170" spans="2:12" ht="20.100000000000001" customHeight="1" x14ac:dyDescent="0.2">
      <c r="B170" s="1" t="s">
        <v>189</v>
      </c>
      <c r="C170" s="1">
        <v>125809</v>
      </c>
      <c r="D170" s="1">
        <v>186</v>
      </c>
      <c r="L170" s="1" t="str">
        <f t="shared" si="8"/>
        <v>Elizabeth, New Jersey 07208</v>
      </c>
    </row>
    <row r="171" spans="2:12" ht="20.100000000000001" customHeight="1" x14ac:dyDescent="0.2">
      <c r="B171" s="1" t="s">
        <v>190</v>
      </c>
      <c r="C171" s="1">
        <v>239614</v>
      </c>
      <c r="D171" s="1">
        <v>72</v>
      </c>
      <c r="L171" s="1" t="str">
        <f t="shared" si="8"/>
        <v>Jersey City, New Jersey 07302</v>
      </c>
    </row>
    <row r="172" spans="2:12" ht="20.100000000000001" customHeight="1" x14ac:dyDescent="0.2">
      <c r="B172" s="1" t="s">
        <v>191</v>
      </c>
      <c r="C172" s="1">
        <v>280666</v>
      </c>
      <c r="D172" s="1">
        <v>65</v>
      </c>
      <c r="L172" s="1" t="str">
        <f t="shared" si="8"/>
        <v>Newark, New Jersey 07102</v>
      </c>
    </row>
    <row r="173" spans="2:12" ht="20.100000000000001" customHeight="1" x14ac:dyDescent="0.2">
      <c r="B173" s="1" t="s">
        <v>192</v>
      </c>
      <c r="C173" s="1">
        <v>149843</v>
      </c>
      <c r="D173" s="1">
        <v>150</v>
      </c>
      <c r="L173" s="1" t="str">
        <f t="shared" si="8"/>
        <v>Paterson, New Jersey 07510</v>
      </c>
    </row>
    <row r="174" spans="2:12" ht="20.100000000000001" customHeight="1" x14ac:dyDescent="0.2">
      <c r="B174" s="1" t="s">
        <v>193</v>
      </c>
      <c r="C174" s="1">
        <v>494236</v>
      </c>
      <c r="D174" s="1">
        <v>33</v>
      </c>
      <c r="L174" s="1" t="str">
        <f t="shared" si="8"/>
        <v>Albuquerque, New Mexico 87101</v>
      </c>
    </row>
    <row r="175" spans="2:12" ht="20.100000000000001" customHeight="1" x14ac:dyDescent="0.2">
      <c r="B175" s="1" t="s">
        <v>194</v>
      </c>
      <c r="C175" s="1">
        <v>279745</v>
      </c>
      <c r="D175" s="1">
        <v>66</v>
      </c>
      <c r="L175" s="1" t="str">
        <f t="shared" si="8"/>
        <v>Buffalo, New York 14240</v>
      </c>
    </row>
    <row r="176" spans="2:12" ht="20.100000000000001" customHeight="1" x14ac:dyDescent="0.2">
      <c r="B176" s="1" t="s">
        <v>195</v>
      </c>
      <c r="C176" s="1">
        <v>8143197</v>
      </c>
      <c r="D176" s="1">
        <v>1</v>
      </c>
      <c r="L176" s="1" t="str">
        <f t="shared" si="8"/>
        <v>New York, New York 10199</v>
      </c>
    </row>
    <row r="177" spans="2:12" ht="20.100000000000001" customHeight="1" x14ac:dyDescent="0.2">
      <c r="B177" s="1" t="s">
        <v>196</v>
      </c>
      <c r="C177" s="1">
        <v>211091</v>
      </c>
      <c r="D177" s="1">
        <v>88</v>
      </c>
      <c r="L177" s="1" t="str">
        <f t="shared" si="8"/>
        <v>Rochester, New York 14692</v>
      </c>
    </row>
    <row r="178" spans="2:12" ht="20.100000000000001" customHeight="1" x14ac:dyDescent="0.2">
      <c r="B178" s="1" t="s">
        <v>197</v>
      </c>
      <c r="C178" s="1">
        <v>141683</v>
      </c>
      <c r="D178" s="1">
        <v>162</v>
      </c>
      <c r="L178" s="1" t="str">
        <f t="shared" si="8"/>
        <v>Syracuse, New York 13220</v>
      </c>
    </row>
    <row r="179" spans="2:12" ht="20.100000000000001" customHeight="1" x14ac:dyDescent="0.2">
      <c r="B179" s="1" t="s">
        <v>198</v>
      </c>
      <c r="C179" s="1">
        <v>196425</v>
      </c>
      <c r="D179" s="1">
        <v>102</v>
      </c>
      <c r="L179" s="1" t="str">
        <f t="shared" si="8"/>
        <v>Yonkers, New York 10701</v>
      </c>
    </row>
    <row r="180" spans="2:12" ht="20.100000000000001" customHeight="1" x14ac:dyDescent="0.2">
      <c r="B180" s="1" t="s">
        <v>199</v>
      </c>
      <c r="C180" s="1">
        <v>106439</v>
      </c>
      <c r="D180" s="1">
        <v>228</v>
      </c>
      <c r="L180" s="1" t="str">
        <f t="shared" si="8"/>
        <v>Cary, North Carolina 27511</v>
      </c>
    </row>
    <row r="181" spans="2:12" ht="20.100000000000001" customHeight="1" x14ac:dyDescent="0.2">
      <c r="B181" s="1" t="s">
        <v>200</v>
      </c>
      <c r="C181" s="1">
        <v>610949</v>
      </c>
      <c r="D181" s="1">
        <v>20</v>
      </c>
      <c r="L181" s="1" t="str">
        <f t="shared" si="8"/>
        <v>Charlotte, North Carolina 28228</v>
      </c>
    </row>
    <row r="182" spans="2:12" ht="20.100000000000001" customHeight="1" x14ac:dyDescent="0.2">
      <c r="B182" s="1" t="s">
        <v>201</v>
      </c>
      <c r="C182" s="1">
        <v>204845</v>
      </c>
      <c r="D182" s="1">
        <v>94</v>
      </c>
      <c r="L182" s="1" t="str">
        <f t="shared" si="8"/>
        <v>Durham, North Carolina 27701</v>
      </c>
    </row>
    <row r="183" spans="2:12" ht="20.100000000000001" customHeight="1" x14ac:dyDescent="0.2">
      <c r="B183" s="1" t="s">
        <v>202</v>
      </c>
      <c r="C183" s="1">
        <v>129928</v>
      </c>
      <c r="D183" s="1">
        <v>179</v>
      </c>
      <c r="L183" s="1" t="str">
        <f t="shared" si="8"/>
        <v>Fayetteville, North Carolina 28302</v>
      </c>
    </row>
    <row r="184" spans="2:12" ht="20.100000000000001" customHeight="1" x14ac:dyDescent="0.2">
      <c r="B184" s="1" t="s">
        <v>203</v>
      </c>
      <c r="C184" s="1">
        <v>231962</v>
      </c>
      <c r="D184" s="1">
        <v>77</v>
      </c>
      <c r="L184" s="1" t="str">
        <f t="shared" si="8"/>
        <v>Greensboro, North Carolina 27420</v>
      </c>
    </row>
    <row r="185" spans="2:12" ht="20.100000000000001" customHeight="1" x14ac:dyDescent="0.2">
      <c r="B185" s="1" t="s">
        <v>204</v>
      </c>
      <c r="C185" s="1">
        <v>341530</v>
      </c>
      <c r="D185" s="1">
        <v>53</v>
      </c>
      <c r="L185" s="1" t="str">
        <f t="shared" si="8"/>
        <v>Raleigh, North Carolina 27613</v>
      </c>
    </row>
    <row r="186" spans="2:12" ht="20.100000000000001" customHeight="1" x14ac:dyDescent="0.2">
      <c r="B186" s="1" t="s">
        <v>205</v>
      </c>
      <c r="C186" s="1">
        <v>193755</v>
      </c>
      <c r="D186" s="1">
        <v>109</v>
      </c>
      <c r="L186" s="1" t="str">
        <f t="shared" si="8"/>
        <v>Winston, North Carolina 27102</v>
      </c>
    </row>
    <row r="187" spans="2:12" ht="20.100000000000001" customHeight="1" x14ac:dyDescent="0.2">
      <c r="B187" s="1" t="s">
        <v>206</v>
      </c>
      <c r="C187" s="1">
        <v>210795</v>
      </c>
      <c r="D187" s="1">
        <v>89</v>
      </c>
      <c r="L187" s="1" t="str">
        <f>TRIM(B187)</f>
        <v>Akron, Ohio 44309</v>
      </c>
    </row>
    <row r="188" spans="2:12" ht="20.100000000000001" customHeight="1" x14ac:dyDescent="0.2">
      <c r="B188" s="1" t="s">
        <v>207</v>
      </c>
      <c r="C188" s="1">
        <v>308728</v>
      </c>
      <c r="D188" s="1">
        <v>58</v>
      </c>
      <c r="L188" s="1" t="str">
        <f>TRIM(B188)</f>
        <v>Cincinnati, Ohio 45225</v>
      </c>
    </row>
    <row r="189" spans="2:12" ht="20.100000000000001" customHeight="1" x14ac:dyDescent="0.2">
      <c r="B189" s="1" t="s">
        <v>208</v>
      </c>
      <c r="C189" s="1">
        <v>452208</v>
      </c>
      <c r="D189" s="1">
        <v>39</v>
      </c>
      <c r="L189" s="1" t="str">
        <f>TRIM(B189)</f>
        <v>Cleveland, Ohio 44101</v>
      </c>
    </row>
    <row r="190" spans="2:12" ht="20.100000000000001" customHeight="1" x14ac:dyDescent="0.2">
      <c r="B190" s="1" t="s">
        <v>209</v>
      </c>
      <c r="C190" s="1">
        <v>730657</v>
      </c>
      <c r="D190" s="1">
        <v>15</v>
      </c>
      <c r="L190" s="1" t="str">
        <f>TRIM(B190)</f>
        <v>Columbus, Ohio 43216</v>
      </c>
    </row>
    <row r="191" spans="2:12" ht="20.100000000000001" customHeight="1" x14ac:dyDescent="0.2">
      <c r="B191" s="1" t="s">
        <v>210</v>
      </c>
      <c r="C191" s="1">
        <v>158873</v>
      </c>
      <c r="D191" s="1">
        <v>140</v>
      </c>
      <c r="L191" s="1" t="str">
        <f>TRIM(B191)</f>
        <v>Dayton, Ohio 45401</v>
      </c>
    </row>
    <row r="192" spans="2:12" ht="20.100000000000001" customHeight="1" x14ac:dyDescent="0.2">
      <c r="B192" s="1" t="s">
        <v>211</v>
      </c>
      <c r="C192" s="1">
        <v>301285</v>
      </c>
      <c r="D192" s="1">
        <v>59</v>
      </c>
      <c r="L192" s="1" t="str">
        <f t="shared" ref="L192:L196" si="9">TRIM(B192)</f>
        <v>Toledo, Ohio 43601</v>
      </c>
    </row>
    <row r="193" spans="2:12" ht="20.100000000000001" customHeight="1" x14ac:dyDescent="0.2">
      <c r="B193" s="1" t="s">
        <v>212</v>
      </c>
      <c r="C193" s="1">
        <v>101719</v>
      </c>
      <c r="D193" s="1">
        <v>246</v>
      </c>
      <c r="L193" s="1" t="str">
        <f t="shared" si="9"/>
        <v>Norman, Oklahoma 73019</v>
      </c>
    </row>
    <row r="194" spans="2:12" ht="20.100000000000001" customHeight="1" x14ac:dyDescent="0.2">
      <c r="B194" s="1" t="s">
        <v>213</v>
      </c>
      <c r="C194" s="1">
        <v>531324</v>
      </c>
      <c r="D194" s="1">
        <v>31</v>
      </c>
      <c r="L194" s="1" t="str">
        <f t="shared" si="9"/>
        <v>Oklahoma City, Oklahoma 73125</v>
      </c>
    </row>
    <row r="195" spans="2:12" ht="20.100000000000001" customHeight="1" x14ac:dyDescent="0.2">
      <c r="B195" s="1" t="s">
        <v>214</v>
      </c>
      <c r="C195" s="1">
        <v>382457</v>
      </c>
      <c r="D195" s="1">
        <v>46</v>
      </c>
      <c r="L195" s="1" t="str">
        <f t="shared" si="9"/>
        <v>Tulsa, Oklahoma 74107</v>
      </c>
    </row>
    <row r="196" spans="2:12" ht="20.100000000000001" customHeight="1" x14ac:dyDescent="0.2">
      <c r="B196" s="1" t="s">
        <v>215</v>
      </c>
      <c r="C196" s="1">
        <v>144515</v>
      </c>
      <c r="D196" s="1">
        <v>156</v>
      </c>
      <c r="L196" s="1" t="str">
        <f t="shared" si="9"/>
        <v>Eugene, Oregon 97401</v>
      </c>
    </row>
    <row r="197" spans="2:12" ht="20.100000000000001" customHeight="1" x14ac:dyDescent="0.2">
      <c r="B197" s="1" t="s">
        <v>216</v>
      </c>
      <c r="C197" s="1">
        <v>533427</v>
      </c>
      <c r="D197" s="1">
        <v>30</v>
      </c>
    </row>
    <row r="198" spans="2:12" ht="20.100000000000001" customHeight="1" x14ac:dyDescent="0.2">
      <c r="B198" s="1" t="s">
        <v>217</v>
      </c>
      <c r="C198" s="1">
        <v>148751</v>
      </c>
      <c r="D198" s="1">
        <v>152</v>
      </c>
    </row>
    <row r="199" spans="2:12" ht="20.100000000000001" customHeight="1" x14ac:dyDescent="0.2">
      <c r="B199" s="1" t="s">
        <v>218</v>
      </c>
      <c r="C199" s="1">
        <v>106992</v>
      </c>
      <c r="D199" s="1">
        <v>225</v>
      </c>
    </row>
    <row r="200" spans="2:12" ht="20.100000000000001" customHeight="1" x14ac:dyDescent="0.2">
      <c r="B200" s="1" t="s">
        <v>219</v>
      </c>
      <c r="C200" s="1">
        <v>102612</v>
      </c>
      <c r="D200" s="1">
        <v>244</v>
      </c>
    </row>
    <row r="201" spans="2:12" ht="20.100000000000001" customHeight="1" x14ac:dyDescent="0.2">
      <c r="B201" s="1" t="s">
        <v>220</v>
      </c>
      <c r="C201" s="1">
        <v>1463281</v>
      </c>
      <c r="D201" s="1">
        <v>5</v>
      </c>
    </row>
    <row r="202" spans="2:12" ht="20.100000000000001" customHeight="1" x14ac:dyDescent="0.2">
      <c r="B202" s="1" t="s">
        <v>221</v>
      </c>
      <c r="C202" s="1">
        <v>316718</v>
      </c>
      <c r="D202" s="1">
        <v>57</v>
      </c>
    </row>
    <row r="203" spans="2:12" ht="20.100000000000001" customHeight="1" x14ac:dyDescent="0.2">
      <c r="B203" s="1" t="s">
        <v>222</v>
      </c>
      <c r="C203" s="1">
        <v>176862</v>
      </c>
      <c r="D203" s="1">
        <v>124</v>
      </c>
    </row>
    <row r="204" spans="2:12" ht="20.100000000000001" customHeight="1" x14ac:dyDescent="0.2">
      <c r="B204" s="1" t="s">
        <v>223</v>
      </c>
      <c r="C204" s="1">
        <v>106712</v>
      </c>
      <c r="D204" s="1">
        <v>226</v>
      </c>
    </row>
    <row r="205" spans="2:12" ht="20.100000000000001" customHeight="1" x14ac:dyDescent="0.2">
      <c r="B205" s="1" t="s">
        <v>224</v>
      </c>
      <c r="C205" s="1">
        <v>117088</v>
      </c>
      <c r="D205" s="1">
        <v>202</v>
      </c>
    </row>
    <row r="206" spans="2:12" ht="20.100000000000001" customHeight="1" x14ac:dyDescent="0.2">
      <c r="B206" s="1" t="s">
        <v>225</v>
      </c>
      <c r="C206" s="1">
        <v>139517</v>
      </c>
      <c r="D206" s="1">
        <v>167</v>
      </c>
    </row>
    <row r="207" spans="2:12" ht="20.100000000000001" customHeight="1" x14ac:dyDescent="0.2">
      <c r="B207" s="1" t="s">
        <v>226</v>
      </c>
      <c r="C207" s="1">
        <v>154762</v>
      </c>
      <c r="D207" s="1">
        <v>143</v>
      </c>
    </row>
    <row r="208" spans="2:12" ht="20.100000000000001" customHeight="1" x14ac:dyDescent="0.2">
      <c r="B208" s="1" t="s">
        <v>227</v>
      </c>
      <c r="C208" s="1">
        <v>112878</v>
      </c>
      <c r="D208" s="1">
        <v>210</v>
      </c>
    </row>
    <row r="209" spans="2:4" ht="20.100000000000001" customHeight="1" x14ac:dyDescent="0.2">
      <c r="B209" s="1" t="s">
        <v>228</v>
      </c>
      <c r="C209" s="1">
        <v>180130</v>
      </c>
      <c r="D209" s="1">
        <v>119</v>
      </c>
    </row>
    <row r="210" spans="2:4" ht="20.100000000000001" customHeight="1" x14ac:dyDescent="0.2">
      <c r="B210" s="1" t="s">
        <v>229</v>
      </c>
      <c r="C210" s="1">
        <v>672277</v>
      </c>
      <c r="D210" s="1">
        <v>17</v>
      </c>
    </row>
    <row r="211" spans="2:4" ht="20.100000000000001" customHeight="1" x14ac:dyDescent="0.2">
      <c r="B211" s="1" t="s">
        <v>230</v>
      </c>
      <c r="C211" s="1">
        <v>549110</v>
      </c>
      <c r="D211" s="1">
        <v>28</v>
      </c>
    </row>
    <row r="212" spans="2:4" ht="20.100000000000001" customHeight="1" x14ac:dyDescent="0.2">
      <c r="B212" s="1" t="s">
        <v>231</v>
      </c>
      <c r="C212" s="1">
        <v>114757</v>
      </c>
      <c r="D212" s="1">
        <v>206</v>
      </c>
    </row>
    <row r="213" spans="2:4" ht="20.100000000000001" customHeight="1" x14ac:dyDescent="0.2">
      <c r="B213" s="1" t="s">
        <v>232</v>
      </c>
      <c r="C213" s="1">
        <v>183021</v>
      </c>
      <c r="D213" s="1">
        <v>118</v>
      </c>
    </row>
    <row r="214" spans="2:4" ht="20.100000000000001" customHeight="1" x14ac:dyDescent="0.2">
      <c r="B214" s="1" t="s">
        <v>233</v>
      </c>
      <c r="C214" s="1">
        <v>362805</v>
      </c>
      <c r="D214" s="1">
        <v>50</v>
      </c>
    </row>
    <row r="215" spans="2:4" ht="20.100000000000001" customHeight="1" x14ac:dyDescent="0.2">
      <c r="B215" s="1" t="s">
        <v>234</v>
      </c>
      <c r="C215" s="1">
        <v>690252</v>
      </c>
      <c r="D215" s="1">
        <v>16</v>
      </c>
    </row>
    <row r="216" spans="2:4" ht="20.100000000000001" customHeight="1" x14ac:dyDescent="0.2">
      <c r="B216" s="1" t="s">
        <v>235</v>
      </c>
      <c r="C216" s="1">
        <v>111799</v>
      </c>
      <c r="D216" s="1">
        <v>214</v>
      </c>
    </row>
    <row r="217" spans="2:4" ht="20.100000000000001" customHeight="1" x14ac:dyDescent="0.2">
      <c r="B217" s="1" t="s">
        <v>236</v>
      </c>
      <c r="C217" s="1">
        <v>167493</v>
      </c>
      <c r="D217" s="1">
        <v>132</v>
      </c>
    </row>
    <row r="218" spans="2:4" ht="20.100000000000001" customHeight="1" x14ac:dyDescent="0.2">
      <c r="B218" s="1" t="s">
        <v>237</v>
      </c>
      <c r="C218" s="1">
        <v>118870</v>
      </c>
      <c r="D218" s="1">
        <v>197</v>
      </c>
    </row>
    <row r="219" spans="2:4" ht="20.100000000000001" customHeight="1" x14ac:dyDescent="0.2">
      <c r="B219" s="1" t="s">
        <v>238</v>
      </c>
      <c r="C219" s="1">
        <v>283474</v>
      </c>
      <c r="D219" s="1">
        <v>64</v>
      </c>
    </row>
    <row r="220" spans="2:4" ht="20.100000000000001" customHeight="1" x14ac:dyDescent="0.2">
      <c r="B220" s="1" t="s">
        <v>239</v>
      </c>
      <c r="C220" s="1">
        <v>1213825</v>
      </c>
      <c r="D220" s="1">
        <v>9</v>
      </c>
    </row>
    <row r="221" spans="2:4" ht="20.100000000000001" customHeight="1" x14ac:dyDescent="0.2">
      <c r="B221" s="1" t="s">
        <v>240</v>
      </c>
      <c r="C221" s="1">
        <v>104153</v>
      </c>
      <c r="D221" s="1">
        <v>237</v>
      </c>
    </row>
    <row r="222" spans="2:4" ht="20.100000000000001" customHeight="1" x14ac:dyDescent="0.2">
      <c r="B222" s="1" t="s">
        <v>241</v>
      </c>
      <c r="C222" s="1">
        <v>598590</v>
      </c>
      <c r="D222" s="1">
        <v>21</v>
      </c>
    </row>
    <row r="223" spans="2:4" ht="20.100000000000001" customHeight="1" x14ac:dyDescent="0.2">
      <c r="B223" s="1" t="s">
        <v>242</v>
      </c>
      <c r="C223" s="1">
        <v>624067</v>
      </c>
      <c r="D223" s="1">
        <v>19</v>
      </c>
    </row>
    <row r="224" spans="2:4" ht="20.100000000000001" customHeight="1" x14ac:dyDescent="0.2">
      <c r="B224" s="1" t="s">
        <v>243</v>
      </c>
      <c r="C224" s="1">
        <v>216346</v>
      </c>
      <c r="D224" s="1">
        <v>86</v>
      </c>
    </row>
    <row r="225" spans="2:4" ht="20.100000000000001" customHeight="1" x14ac:dyDescent="0.2">
      <c r="B225" s="1" t="s">
        <v>244</v>
      </c>
      <c r="C225" s="1">
        <v>144337</v>
      </c>
      <c r="D225" s="1">
        <v>157</v>
      </c>
    </row>
    <row r="226" spans="2:4" ht="20.100000000000001" customHeight="1" x14ac:dyDescent="0.2">
      <c r="B226" s="1" t="s">
        <v>245</v>
      </c>
      <c r="C226" s="1">
        <v>2016582</v>
      </c>
      <c r="D226" s="1">
        <v>4</v>
      </c>
    </row>
    <row r="227" spans="2:4" ht="20.100000000000001" customHeight="1" x14ac:dyDescent="0.2">
      <c r="B227" s="1" t="s">
        <v>246</v>
      </c>
      <c r="C227" s="1">
        <v>193649</v>
      </c>
      <c r="D227" s="1">
        <v>110</v>
      </c>
    </row>
    <row r="228" spans="2:4" ht="20.100000000000001" customHeight="1" x14ac:dyDescent="0.2">
      <c r="B228" s="1" t="s">
        <v>247</v>
      </c>
      <c r="C228" s="1">
        <v>100233</v>
      </c>
      <c r="D228" s="1">
        <v>251</v>
      </c>
    </row>
    <row r="229" spans="2:4" ht="20.100000000000001" customHeight="1" x14ac:dyDescent="0.2">
      <c r="B229" s="1" t="s">
        <v>248</v>
      </c>
      <c r="C229" s="1">
        <v>208754</v>
      </c>
      <c r="D229" s="1">
        <v>92</v>
      </c>
    </row>
    <row r="230" spans="2:4" ht="20.100000000000001" customHeight="1" x14ac:dyDescent="0.2">
      <c r="B230" s="1" t="s">
        <v>249</v>
      </c>
      <c r="C230" s="1">
        <v>209737</v>
      </c>
      <c r="D230" s="1">
        <v>91</v>
      </c>
    </row>
    <row r="231" spans="2:4" ht="20.100000000000001" customHeight="1" x14ac:dyDescent="0.2">
      <c r="B231" s="1" t="s">
        <v>250</v>
      </c>
      <c r="C231" s="1">
        <v>123622</v>
      </c>
      <c r="D231" s="1">
        <v>190</v>
      </c>
    </row>
    <row r="232" spans="2:4" ht="20.100000000000001" customHeight="1" x14ac:dyDescent="0.2">
      <c r="B232" s="1" t="s">
        <v>251</v>
      </c>
      <c r="C232" s="1">
        <v>129902</v>
      </c>
      <c r="D232" s="1">
        <v>180</v>
      </c>
    </row>
    <row r="233" spans="2:4" ht="20.100000000000001" customHeight="1" x14ac:dyDescent="0.2">
      <c r="B233" s="1" t="s">
        <v>252</v>
      </c>
      <c r="C233" s="1">
        <v>143852</v>
      </c>
      <c r="D233" s="1">
        <v>159</v>
      </c>
    </row>
    <row r="234" spans="2:4" ht="20.100000000000001" customHeight="1" x14ac:dyDescent="0.2">
      <c r="B234" s="1" t="s">
        <v>253</v>
      </c>
      <c r="C234" s="1">
        <v>250096</v>
      </c>
      <c r="D234" s="1">
        <v>70</v>
      </c>
    </row>
    <row r="235" spans="2:4" ht="20.100000000000001" customHeight="1" x14ac:dyDescent="0.2">
      <c r="B235" s="1" t="s">
        <v>254</v>
      </c>
      <c r="C235" s="1">
        <v>1256509</v>
      </c>
      <c r="D235" s="1">
        <v>7</v>
      </c>
    </row>
    <row r="236" spans="2:4" ht="20.100000000000001" customHeight="1" x14ac:dyDescent="0.2">
      <c r="B236" s="1" t="s">
        <v>255</v>
      </c>
      <c r="C236" s="1">
        <v>120465</v>
      </c>
      <c r="D236" s="1">
        <v>195</v>
      </c>
    </row>
    <row r="237" spans="2:4" ht="20.100000000000001" customHeight="1" x14ac:dyDescent="0.2">
      <c r="B237" s="1" t="s">
        <v>256</v>
      </c>
      <c r="C237" s="1">
        <v>178097</v>
      </c>
      <c r="D237" s="1">
        <v>122</v>
      </c>
    </row>
    <row r="238" spans="2:4" ht="20.100000000000001" customHeight="1" x14ac:dyDescent="0.2">
      <c r="B238" s="1" t="s">
        <v>257</v>
      </c>
      <c r="C238" s="1">
        <v>113300</v>
      </c>
      <c r="D238" s="1">
        <v>208</v>
      </c>
    </row>
    <row r="239" spans="2:4" ht="20.100000000000001" customHeight="1" x14ac:dyDescent="0.2">
      <c r="B239" s="1" t="s">
        <v>258</v>
      </c>
      <c r="C239" s="1">
        <v>135337</v>
      </c>
      <c r="D239" s="1">
        <v>171</v>
      </c>
    </row>
    <row r="240" spans="2:4" ht="20.100000000000001" customHeight="1" x14ac:dyDescent="0.2">
      <c r="B240" s="1" t="s">
        <v>259</v>
      </c>
      <c r="C240" s="1">
        <v>195965</v>
      </c>
      <c r="D240" s="1">
        <v>103</v>
      </c>
    </row>
    <row r="241" spans="2:4" ht="20.100000000000001" customHeight="1" x14ac:dyDescent="0.2">
      <c r="B241" s="1" t="s">
        <v>260</v>
      </c>
      <c r="C241" s="1">
        <v>218968</v>
      </c>
      <c r="D241" s="1">
        <v>85</v>
      </c>
    </row>
    <row r="242" spans="2:4" ht="20.100000000000001" customHeight="1" x14ac:dyDescent="0.2">
      <c r="B242" s="1" t="s">
        <v>261</v>
      </c>
      <c r="C242" s="1">
        <v>145579</v>
      </c>
      <c r="D242" s="1">
        <v>155</v>
      </c>
    </row>
    <row r="243" spans="2:4" ht="20.100000000000001" customHeight="1" x14ac:dyDescent="0.2">
      <c r="B243" s="1" t="s">
        <v>262</v>
      </c>
      <c r="C243" s="1">
        <v>179899</v>
      </c>
      <c r="D243" s="1">
        <v>120</v>
      </c>
    </row>
    <row r="244" spans="2:4" ht="20.100000000000001" customHeight="1" x14ac:dyDescent="0.2">
      <c r="B244" s="1" t="s">
        <v>263</v>
      </c>
      <c r="C244" s="1">
        <v>231954</v>
      </c>
      <c r="D244" s="1">
        <v>78</v>
      </c>
    </row>
    <row r="245" spans="2:4" ht="20.100000000000001" customHeight="1" x14ac:dyDescent="0.2">
      <c r="B245" s="1" t="s">
        <v>264</v>
      </c>
      <c r="C245" s="1">
        <v>100169</v>
      </c>
      <c r="D245" s="1">
        <v>252</v>
      </c>
    </row>
    <row r="246" spans="2:4" ht="20.100000000000001" customHeight="1" x14ac:dyDescent="0.2">
      <c r="B246" s="1" t="s">
        <v>265</v>
      </c>
      <c r="C246" s="1">
        <v>193777</v>
      </c>
      <c r="D246" s="1">
        <v>108</v>
      </c>
    </row>
    <row r="247" spans="2:4" ht="20.100000000000001" customHeight="1" x14ac:dyDescent="0.2">
      <c r="B247" s="1" t="s">
        <v>266</v>
      </c>
      <c r="C247" s="1">
        <v>438415</v>
      </c>
      <c r="D247" s="1">
        <v>42</v>
      </c>
    </row>
    <row r="248" spans="2:4" ht="20.100000000000001" customHeight="1" x14ac:dyDescent="0.2">
      <c r="B248" s="1" t="s">
        <v>267</v>
      </c>
      <c r="C248" s="1">
        <v>117137</v>
      </c>
      <c r="D248" s="1">
        <v>201</v>
      </c>
    </row>
    <row r="249" spans="2:4" ht="20.100000000000001" customHeight="1" x14ac:dyDescent="0.2">
      <c r="B249" s="1" t="s">
        <v>268</v>
      </c>
      <c r="C249" s="1">
        <v>573911</v>
      </c>
      <c r="D249" s="1">
        <v>23</v>
      </c>
    </row>
    <row r="250" spans="2:4" ht="20.100000000000001" customHeight="1" x14ac:dyDescent="0.2">
      <c r="B250" s="1" t="s">
        <v>269</v>
      </c>
      <c r="C250" s="1">
        <v>196818</v>
      </c>
      <c r="D250" s="1">
        <v>101</v>
      </c>
    </row>
    <row r="251" spans="2:4" ht="20.100000000000001" customHeight="1" x14ac:dyDescent="0.2">
      <c r="B251" s="1" t="s">
        <v>270</v>
      </c>
      <c r="C251" s="1">
        <v>195898</v>
      </c>
      <c r="D251" s="1">
        <v>104</v>
      </c>
    </row>
    <row r="252" spans="2:4" ht="20.100000000000001" customHeight="1" x14ac:dyDescent="0.2">
      <c r="B252" s="1" t="s">
        <v>271</v>
      </c>
      <c r="C252" s="1">
        <v>157493</v>
      </c>
      <c r="D252" s="1">
        <v>142</v>
      </c>
    </row>
    <row r="253" spans="2:4" ht="20.100000000000001" customHeight="1" x14ac:dyDescent="0.2">
      <c r="B253" s="1" t="s">
        <v>272</v>
      </c>
      <c r="C253" s="1">
        <v>101203</v>
      </c>
      <c r="D253" s="1">
        <v>247</v>
      </c>
    </row>
    <row r="254" spans="2:4" ht="20.100000000000001" customHeight="1" x14ac:dyDescent="0.2">
      <c r="B254" s="1" t="s">
        <v>273</v>
      </c>
      <c r="C254" s="1">
        <v>221551</v>
      </c>
      <c r="D254" s="1">
        <v>83</v>
      </c>
    </row>
    <row r="255" spans="2:4" ht="20.100000000000001" customHeight="1" x14ac:dyDescent="0.2">
      <c r="B255" s="1" t="s">
        <v>274</v>
      </c>
      <c r="C255" s="1">
        <v>578887</v>
      </c>
      <c r="D255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CC50-669B-4D1D-B5CC-685823499DFD}">
  <sheetPr codeName="Sheet20"/>
  <dimension ref="A2:W255"/>
  <sheetViews>
    <sheetView zoomScale="115" zoomScaleNormal="115" workbookViewId="0">
      <pane xSplit="1" ySplit="2" topLeftCell="Q72" activePane="bottomRight" state="frozen"/>
      <selection pane="topRight" activeCell="B1" sqref="B1"/>
      <selection pane="bottomLeft" activeCell="A3" sqref="A3"/>
      <selection pane="bottomRight" activeCell="A78" sqref="A78:A81"/>
    </sheetView>
  </sheetViews>
  <sheetFormatPr defaultColWidth="10.625" defaultRowHeight="20.100000000000001" customHeight="1" x14ac:dyDescent="0.2"/>
  <cols>
    <col min="1" max="1" width="25.875" style="1" customWidth="1"/>
    <col min="2" max="3" width="10.625" style="1"/>
    <col min="4" max="4" width="23.25" style="1" customWidth="1"/>
    <col min="5" max="5" width="29" style="1" bestFit="1" customWidth="1"/>
    <col min="6" max="6" width="25.625" style="1" bestFit="1" customWidth="1"/>
    <col min="7" max="7" width="11.125" style="1" bestFit="1" customWidth="1"/>
    <col min="8" max="8" width="14.125" style="1" customWidth="1"/>
    <col min="9" max="9" width="10.625" style="1"/>
    <col min="10" max="10" width="24.375" style="1" bestFit="1" customWidth="1"/>
    <col min="11" max="11" width="10.625" style="1"/>
    <col min="12" max="12" width="19" style="1" bestFit="1" customWidth="1"/>
    <col min="13" max="13" width="11.875" style="1" customWidth="1"/>
    <col min="14" max="14" width="13.75" style="1" bestFit="1" customWidth="1"/>
    <col min="15" max="16" width="10.625" style="1"/>
    <col min="17" max="17" width="25.625" style="1" bestFit="1" customWidth="1"/>
    <col min="18" max="18" width="25.125" style="1" bestFit="1" customWidth="1"/>
    <col min="19" max="19" width="10.625" style="1"/>
    <col min="20" max="20" width="18" style="1" bestFit="1" customWidth="1"/>
    <col min="21" max="21" width="14.125" style="1" bestFit="1" customWidth="1"/>
    <col min="22" max="16384" width="10.625" style="1"/>
  </cols>
  <sheetData>
    <row r="2" spans="1:23" ht="20.100000000000001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275</v>
      </c>
    </row>
    <row r="3" spans="1:23" ht="20.100000000000001" customHeight="1" x14ac:dyDescent="0.2">
      <c r="A3" s="1" t="s">
        <v>22</v>
      </c>
      <c r="B3" s="1">
        <v>231483</v>
      </c>
      <c r="C3" s="1">
        <v>79</v>
      </c>
      <c r="D3" s="1" t="str">
        <f>LOWER(A3)</f>
        <v>birmingham, alabama  35203</v>
      </c>
      <c r="E3" s="1" t="str">
        <f>UPPER(A3)</f>
        <v>BIRMINGHAM, ALABAMA  35203</v>
      </c>
      <c r="F3" s="1" t="str">
        <f>PROPER(D3)</f>
        <v>Birmingham, Alabama  35203</v>
      </c>
      <c r="G3" s="1" t="str">
        <f>LEFT(A3,10)</f>
        <v>Birmingham</v>
      </c>
      <c r="H3" s="1" t="str">
        <f>RIGHT(A3,5)</f>
        <v>35203</v>
      </c>
      <c r="I3" s="1">
        <f>LEN(A3)</f>
        <v>26</v>
      </c>
      <c r="J3" s="1">
        <f>LEN(TRIM(A3))</f>
        <v>25</v>
      </c>
      <c r="K3" s="1" t="str">
        <f>B3&amp;"--"&amp;C3</f>
        <v>231483--79</v>
      </c>
      <c r="L3" s="1" t="str">
        <f>_xlfn.CONCAT(B3,"---",G3)</f>
        <v>231483---Birmingham</v>
      </c>
      <c r="M3" s="1">
        <f>VALUE(H3)</f>
        <v>35203</v>
      </c>
      <c r="N3" s="1">
        <f>VALUE(RIGHT(A3,5))</f>
        <v>35203</v>
      </c>
      <c r="O3" s="1">
        <f>FIND("am",A3)</f>
        <v>9</v>
      </c>
      <c r="P3" s="1">
        <f>SEARCH("A",A3)</f>
        <v>9</v>
      </c>
      <c r="Q3" s="1" t="str">
        <f>REPLACE(A3,1,3,"***")</f>
        <v>***mingham, Alabama  35203</v>
      </c>
      <c r="R3" s="1" t="str">
        <f>SUBSTITUTE(A3,",","-")</f>
        <v>Birmingham- Alabama  35203</v>
      </c>
      <c r="S3" s="1" t="str">
        <f>MID(A3,10,5)</f>
        <v>m, Al</v>
      </c>
      <c r="T3" s="1" t="str">
        <f>LEFT(A3,FIND(",",A3)-1)</f>
        <v>Birmingham</v>
      </c>
      <c r="U3" s="1" t="str">
        <f>MID(A3,FIND(",",A3)+2,LEN(A3)-FIND(",",A3)-7)</f>
        <v xml:space="preserve">Alabama </v>
      </c>
      <c r="V3" s="1" t="str">
        <f>RIGHT(A3,5)</f>
        <v>35203</v>
      </c>
    </row>
    <row r="4" spans="1:23" ht="20.100000000000001" customHeight="1" x14ac:dyDescent="0.2">
      <c r="A4" s="1" t="s">
        <v>23</v>
      </c>
      <c r="B4" s="1">
        <v>166313</v>
      </c>
      <c r="C4" s="1">
        <v>134</v>
      </c>
      <c r="G4" s="1" t="str">
        <f>LEFT(A4,10)</f>
        <v>Huntsville</v>
      </c>
      <c r="H4" s="1" t="str">
        <f t="shared" ref="H4:H7" si="0">RIGHT(A4,5)</f>
        <v>35813</v>
      </c>
      <c r="M4" s="1">
        <f t="shared" ref="M4:M6" si="1">VALUE(H4)</f>
        <v>35813</v>
      </c>
      <c r="T4" s="1" t="str">
        <f t="shared" ref="T4:T67" si="2">LEFT(A4,FIND(",",A4)-1)</f>
        <v>Huntsville</v>
      </c>
      <c r="U4" s="1" t="str">
        <f t="shared" ref="U4:U67" si="3">MID(A4,FIND(",",A4)+2,LEN(A4)-FIND(",",A4)-7)</f>
        <v xml:space="preserve">Alabama </v>
      </c>
      <c r="V4" s="1" t="str">
        <f t="shared" ref="V4:V67" si="4">RIGHT(A4,5)</f>
        <v>35813</v>
      </c>
    </row>
    <row r="5" spans="1:23" ht="20.100000000000001" customHeight="1" x14ac:dyDescent="0.2">
      <c r="A5" s="1" t="s">
        <v>24</v>
      </c>
      <c r="B5" s="1">
        <v>191544</v>
      </c>
      <c r="C5" s="1">
        <v>112</v>
      </c>
      <c r="G5" s="1" t="str">
        <f>LEFT(A5,10)</f>
        <v>Mobile, Al</v>
      </c>
      <c r="H5" s="1" t="str">
        <f t="shared" si="0"/>
        <v>36601</v>
      </c>
      <c r="M5" s="1">
        <f t="shared" si="1"/>
        <v>36601</v>
      </c>
      <c r="T5" s="1" t="str">
        <f t="shared" si="2"/>
        <v>Mobile</v>
      </c>
      <c r="U5" s="1" t="str">
        <f t="shared" si="3"/>
        <v xml:space="preserve">Alabama </v>
      </c>
      <c r="V5" s="1" t="str">
        <f t="shared" si="4"/>
        <v>36601</v>
      </c>
    </row>
    <row r="6" spans="1:23" ht="20.100000000000001" customHeight="1" x14ac:dyDescent="0.2">
      <c r="A6" s="1" t="s">
        <v>25</v>
      </c>
      <c r="B6" s="1">
        <v>200127</v>
      </c>
      <c r="C6" s="1">
        <v>97</v>
      </c>
      <c r="G6" s="1" t="str">
        <f>LEFT(A6,10)</f>
        <v>Montgomery</v>
      </c>
      <c r="H6" s="1" t="str">
        <f t="shared" si="0"/>
        <v>36119</v>
      </c>
      <c r="M6" s="1">
        <f t="shared" si="1"/>
        <v>36119</v>
      </c>
      <c r="T6" s="1" t="str">
        <f t="shared" si="2"/>
        <v>Montgomery</v>
      </c>
      <c r="U6" s="1" t="str">
        <f t="shared" si="3"/>
        <v xml:space="preserve">Alabama </v>
      </c>
      <c r="V6" s="1" t="str">
        <f t="shared" si="4"/>
        <v>36119</v>
      </c>
    </row>
    <row r="7" spans="1:23" ht="20.100000000000001" customHeight="1" x14ac:dyDescent="0.2">
      <c r="A7" s="1" t="s">
        <v>26</v>
      </c>
      <c r="B7" s="1">
        <v>275043</v>
      </c>
      <c r="C7" s="1">
        <v>68</v>
      </c>
      <c r="G7" s="1" t="str">
        <f>LEFT(A7,10)</f>
        <v>Anchorage,</v>
      </c>
      <c r="H7" s="1" t="str">
        <f t="shared" si="0"/>
        <v>99599</v>
      </c>
      <c r="T7" s="1" t="str">
        <f t="shared" si="2"/>
        <v>Anchorage</v>
      </c>
      <c r="U7" s="1" t="str">
        <f t="shared" si="3"/>
        <v xml:space="preserve">Alaska </v>
      </c>
      <c r="V7" s="1" t="str">
        <f t="shared" si="4"/>
        <v>99599</v>
      </c>
    </row>
    <row r="8" spans="1:23" ht="20.100000000000001" customHeight="1" x14ac:dyDescent="0.2">
      <c r="A8" s="1" t="s">
        <v>27</v>
      </c>
      <c r="B8" s="1">
        <v>234939</v>
      </c>
      <c r="C8" s="1">
        <v>75</v>
      </c>
      <c r="T8" s="1" t="str">
        <f t="shared" si="2"/>
        <v>Chandler</v>
      </c>
      <c r="U8" s="1" t="str">
        <f t="shared" si="3"/>
        <v xml:space="preserve">Arizona </v>
      </c>
      <c r="V8" s="1" t="str">
        <f t="shared" si="4"/>
        <v>85225</v>
      </c>
    </row>
    <row r="9" spans="1:23" ht="20.100000000000001" customHeight="1" x14ac:dyDescent="0.2">
      <c r="A9" s="1" t="s">
        <v>28</v>
      </c>
      <c r="B9" s="1">
        <v>173989</v>
      </c>
      <c r="C9" s="1">
        <v>127</v>
      </c>
      <c r="T9" s="1" t="str">
        <f t="shared" si="2"/>
        <v>Gilbert</v>
      </c>
      <c r="U9" s="1" t="str">
        <f t="shared" si="3"/>
        <v xml:space="preserve">Arizona </v>
      </c>
      <c r="V9" s="1" t="str">
        <f t="shared" si="4"/>
        <v>85296</v>
      </c>
    </row>
    <row r="10" spans="1:23" ht="20.100000000000001" customHeight="1" x14ac:dyDescent="0.2">
      <c r="A10" s="1" t="s">
        <v>29</v>
      </c>
      <c r="B10" s="1">
        <v>239435</v>
      </c>
      <c r="C10" s="1">
        <v>73</v>
      </c>
      <c r="T10" s="1" t="str">
        <f t="shared" si="2"/>
        <v>Glendale</v>
      </c>
      <c r="U10" s="1" t="str">
        <f t="shared" si="3"/>
        <v xml:space="preserve">Arizona </v>
      </c>
      <c r="V10" s="1" t="str">
        <f t="shared" si="4"/>
        <v>85302</v>
      </c>
    </row>
    <row r="11" spans="1:23" ht="20.100000000000001" customHeight="1" x14ac:dyDescent="0.2">
      <c r="A11" s="1" t="s">
        <v>30</v>
      </c>
      <c r="B11" s="1">
        <v>442780</v>
      </c>
      <c r="C11" s="1">
        <v>41</v>
      </c>
      <c r="T11" s="1" t="str">
        <f t="shared" si="2"/>
        <v>Mesa</v>
      </c>
      <c r="U11" s="1" t="str">
        <f t="shared" si="3"/>
        <v xml:space="preserve">Arizona </v>
      </c>
      <c r="V11" s="1" t="str">
        <f t="shared" si="4"/>
        <v>85201</v>
      </c>
    </row>
    <row r="12" spans="1:23" ht="20.100000000000001" customHeight="1" x14ac:dyDescent="0.2">
      <c r="A12" s="1" t="s">
        <v>31</v>
      </c>
      <c r="B12" s="1">
        <v>138200</v>
      </c>
      <c r="C12" s="1">
        <v>169</v>
      </c>
      <c r="T12" s="1" t="str">
        <f t="shared" si="2"/>
        <v>Peoria</v>
      </c>
      <c r="U12" s="1" t="str">
        <f t="shared" si="3"/>
        <v xml:space="preserve">Arizona </v>
      </c>
      <c r="V12" s="1" t="str">
        <f t="shared" si="4"/>
        <v>85381</v>
      </c>
    </row>
    <row r="13" spans="1:23" ht="20.100000000000001" customHeight="1" x14ac:dyDescent="0.2">
      <c r="A13" s="1" t="s">
        <v>32</v>
      </c>
      <c r="B13" s="1">
        <v>1461575</v>
      </c>
      <c r="C13" s="1">
        <v>6</v>
      </c>
      <c r="T13" s="1" t="str">
        <f t="shared" si="2"/>
        <v>Phoenix</v>
      </c>
      <c r="U13" s="1" t="str">
        <f t="shared" si="3"/>
        <v xml:space="preserve">Arizona </v>
      </c>
      <c r="V13" s="1" t="str">
        <f t="shared" si="4"/>
        <v>85026</v>
      </c>
    </row>
    <row r="14" spans="1:23" ht="20.100000000000001" customHeight="1" x14ac:dyDescent="0.2">
      <c r="A14" s="1" t="s">
        <v>33</v>
      </c>
      <c r="B14" s="1">
        <v>226013</v>
      </c>
      <c r="C14" s="1">
        <v>80</v>
      </c>
      <c r="T14" s="1" t="str">
        <f t="shared" si="2"/>
        <v>Scottsdale</v>
      </c>
      <c r="U14" s="1" t="str">
        <f t="shared" si="3"/>
        <v xml:space="preserve">Arizona </v>
      </c>
      <c r="V14" s="1" t="str">
        <f t="shared" si="4"/>
        <v>85251</v>
      </c>
    </row>
    <row r="15" spans="1:23" ht="20.100000000000001" customHeight="1" x14ac:dyDescent="0.2">
      <c r="A15" s="1" t="s">
        <v>34</v>
      </c>
      <c r="B15" s="1">
        <v>161143</v>
      </c>
      <c r="C15" s="1">
        <v>139</v>
      </c>
      <c r="T15" s="1" t="str">
        <f t="shared" si="2"/>
        <v>Tempe</v>
      </c>
      <c r="U15" s="1" t="str">
        <f t="shared" si="3"/>
        <v xml:space="preserve">Arizona </v>
      </c>
      <c r="V15" s="1" t="str">
        <f t="shared" si="4"/>
        <v>85282</v>
      </c>
    </row>
    <row r="16" spans="1:23" ht="20.100000000000001" customHeight="1" x14ac:dyDescent="0.2">
      <c r="A16" s="1" t="s">
        <v>35</v>
      </c>
      <c r="B16" s="1">
        <v>515526</v>
      </c>
      <c r="C16" s="1">
        <v>32</v>
      </c>
      <c r="T16" s="1" t="str">
        <f t="shared" si="2"/>
        <v>Tucson</v>
      </c>
      <c r="U16" s="1" t="str">
        <f t="shared" si="3"/>
        <v xml:space="preserve">Arizona </v>
      </c>
      <c r="V16" s="1" t="str">
        <f t="shared" si="4"/>
        <v>85726</v>
      </c>
    </row>
    <row r="17" spans="1:22" ht="20.100000000000001" customHeight="1" x14ac:dyDescent="0.2">
      <c r="A17" s="1" t="s">
        <v>36</v>
      </c>
      <c r="B17" s="1">
        <v>184564</v>
      </c>
      <c r="C17" s="1">
        <v>116</v>
      </c>
      <c r="T17" s="1" t="str">
        <f t="shared" si="2"/>
        <v>Little Rock</v>
      </c>
      <c r="U17" s="1" t="str">
        <f t="shared" si="3"/>
        <v xml:space="preserve">Arkansas </v>
      </c>
      <c r="V17" s="1" t="str">
        <f t="shared" si="4"/>
        <v>72202</v>
      </c>
    </row>
    <row r="18" spans="1:22" ht="20.100000000000001" customHeight="1" x14ac:dyDescent="0.2">
      <c r="A18" s="1" t="s">
        <v>37</v>
      </c>
      <c r="B18" s="1">
        <v>331804</v>
      </c>
      <c r="C18" s="1">
        <v>55</v>
      </c>
      <c r="T18" s="1" t="str">
        <f t="shared" si="2"/>
        <v>Anaheim</v>
      </c>
      <c r="U18" s="1" t="str">
        <f t="shared" si="3"/>
        <v xml:space="preserve">California </v>
      </c>
      <c r="V18" s="1" t="str">
        <f t="shared" si="4"/>
        <v>92803</v>
      </c>
    </row>
    <row r="19" spans="1:22" ht="20.100000000000001" customHeight="1" x14ac:dyDescent="0.2">
      <c r="A19" s="1" t="s">
        <v>38</v>
      </c>
      <c r="B19" s="1">
        <v>100631</v>
      </c>
      <c r="C19" s="1">
        <v>249</v>
      </c>
      <c r="T19" s="1" t="str">
        <f t="shared" si="2"/>
        <v>Antioch</v>
      </c>
      <c r="U19" s="1" t="str">
        <f t="shared" si="3"/>
        <v xml:space="preserve">California </v>
      </c>
      <c r="V19" s="1" t="str">
        <f t="shared" si="4"/>
        <v>94509</v>
      </c>
    </row>
    <row r="20" spans="1:22" ht="20.100000000000001" customHeight="1" x14ac:dyDescent="0.2">
      <c r="A20" s="1" t="s">
        <v>39</v>
      </c>
      <c r="B20" s="1">
        <v>295536</v>
      </c>
      <c r="C20" s="1">
        <v>61</v>
      </c>
      <c r="T20" s="1" t="str">
        <f t="shared" si="2"/>
        <v>Bakersfield</v>
      </c>
      <c r="U20" s="1" t="str">
        <f t="shared" si="3"/>
        <v xml:space="preserve">California </v>
      </c>
      <c r="V20" s="1" t="str">
        <f t="shared" si="4"/>
        <v>93380</v>
      </c>
    </row>
    <row r="21" spans="1:22" ht="20.100000000000001" customHeight="1" x14ac:dyDescent="0.2">
      <c r="A21" s="1" t="s">
        <v>40</v>
      </c>
      <c r="B21" s="1">
        <v>100744</v>
      </c>
      <c r="C21" s="1">
        <v>248</v>
      </c>
      <c r="T21" s="1" t="str">
        <f t="shared" si="2"/>
        <v>Berkeley</v>
      </c>
      <c r="U21" s="1" t="str">
        <f t="shared" si="3"/>
        <v xml:space="preserve">California </v>
      </c>
      <c r="V21" s="1" t="str">
        <f t="shared" si="4"/>
        <v>94704</v>
      </c>
    </row>
    <row r="22" spans="1:22" ht="20.100000000000001" customHeight="1" x14ac:dyDescent="0.2">
      <c r="A22" s="1" t="s">
        <v>41</v>
      </c>
      <c r="B22" s="1">
        <v>104108</v>
      </c>
      <c r="C22" s="1">
        <v>238</v>
      </c>
      <c r="T22" s="1" t="str">
        <f t="shared" si="2"/>
        <v>Burbank</v>
      </c>
      <c r="U22" s="1" t="str">
        <f t="shared" si="3"/>
        <v xml:space="preserve">California </v>
      </c>
      <c r="V22" s="1" t="str">
        <f t="shared" si="4"/>
        <v>91505</v>
      </c>
    </row>
    <row r="23" spans="1:22" ht="20.100000000000001" customHeight="1" x14ac:dyDescent="0.2">
      <c r="A23" s="1" t="s">
        <v>42</v>
      </c>
      <c r="B23" s="1">
        <v>210497</v>
      </c>
      <c r="C23" s="1">
        <v>90</v>
      </c>
      <c r="T23" s="1" t="str">
        <f t="shared" si="2"/>
        <v>Chula Vista</v>
      </c>
      <c r="U23" s="1" t="str">
        <f t="shared" si="3"/>
        <v xml:space="preserve">California </v>
      </c>
      <c r="V23" s="1" t="str">
        <f t="shared" si="4"/>
        <v>91910</v>
      </c>
    </row>
    <row r="24" spans="1:22" ht="20.100000000000001" customHeight="1" x14ac:dyDescent="0.2">
      <c r="A24" s="1" t="s">
        <v>43</v>
      </c>
      <c r="B24" s="1">
        <v>123252</v>
      </c>
      <c r="C24" s="1">
        <v>191</v>
      </c>
      <c r="T24" s="1" t="str">
        <f t="shared" si="2"/>
        <v>Concord</v>
      </c>
      <c r="U24" s="1" t="str">
        <f t="shared" si="3"/>
        <v xml:space="preserve">California </v>
      </c>
      <c r="V24" s="1" t="str">
        <f t="shared" si="4"/>
        <v>94520</v>
      </c>
    </row>
    <row r="25" spans="1:22" ht="20.100000000000001" customHeight="1" x14ac:dyDescent="0.2">
      <c r="A25" s="1" t="s">
        <v>44</v>
      </c>
      <c r="B25" s="1">
        <v>149387</v>
      </c>
      <c r="C25" s="1">
        <v>151</v>
      </c>
      <c r="T25" s="1" t="str">
        <f t="shared" si="2"/>
        <v>Corona</v>
      </c>
      <c r="U25" s="1" t="str">
        <f t="shared" si="3"/>
        <v xml:space="preserve">California </v>
      </c>
      <c r="V25" s="1" t="str">
        <f t="shared" si="4"/>
        <v>91718</v>
      </c>
    </row>
    <row r="26" spans="1:22" ht="20.100000000000001" customHeight="1" x14ac:dyDescent="0.2">
      <c r="A26" s="1" t="s">
        <v>45</v>
      </c>
      <c r="B26" s="1">
        <v>109830</v>
      </c>
      <c r="C26" s="1">
        <v>217</v>
      </c>
      <c r="T26" s="1" t="str">
        <f t="shared" si="2"/>
        <v>Costa Mesa</v>
      </c>
      <c r="U26" s="1" t="str">
        <f t="shared" si="3"/>
        <v xml:space="preserve">California </v>
      </c>
      <c r="V26" s="1" t="str">
        <f t="shared" si="4"/>
        <v>92628</v>
      </c>
    </row>
    <row r="27" spans="1:22" ht="20.100000000000001" customHeight="1" x14ac:dyDescent="0.2">
      <c r="A27" s="1" t="s">
        <v>46</v>
      </c>
      <c r="B27" s="1">
        <v>100339</v>
      </c>
      <c r="C27" s="1">
        <v>250</v>
      </c>
      <c r="T27" s="1" t="str">
        <f t="shared" si="2"/>
        <v>Daly City</v>
      </c>
      <c r="U27" s="1" t="str">
        <f t="shared" si="3"/>
        <v xml:space="preserve">California </v>
      </c>
      <c r="V27" s="1" t="str">
        <f t="shared" si="4"/>
        <v>94015</v>
      </c>
    </row>
    <row r="28" spans="1:22" ht="20.100000000000001" customHeight="1" x14ac:dyDescent="0.2">
      <c r="A28" s="1" t="s">
        <v>47</v>
      </c>
      <c r="B28" s="1">
        <v>109718</v>
      </c>
      <c r="C28" s="1">
        <v>218</v>
      </c>
      <c r="T28" s="1" t="str">
        <f t="shared" si="2"/>
        <v>Downey</v>
      </c>
      <c r="U28" s="1" t="str">
        <f t="shared" si="3"/>
        <v xml:space="preserve">California </v>
      </c>
      <c r="V28" s="1" t="str">
        <f t="shared" si="4"/>
        <v>90241</v>
      </c>
    </row>
    <row r="29" spans="1:22" ht="20.100000000000001" customHeight="1" x14ac:dyDescent="0.2">
      <c r="A29" s="1" t="s">
        <v>48</v>
      </c>
      <c r="B29" s="1">
        <v>122513</v>
      </c>
      <c r="C29" s="1">
        <v>193</v>
      </c>
      <c r="T29" s="1" t="str">
        <f t="shared" si="2"/>
        <v>El Monte</v>
      </c>
      <c r="U29" s="1" t="str">
        <f t="shared" si="3"/>
        <v xml:space="preserve">California </v>
      </c>
      <c r="V29" s="1" t="str">
        <f t="shared" si="4"/>
        <v>91734</v>
      </c>
    </row>
    <row r="30" spans="1:22" ht="20.100000000000001" customHeight="1" x14ac:dyDescent="0.2">
      <c r="A30" s="1" t="s">
        <v>49</v>
      </c>
      <c r="B30" s="1">
        <v>112338</v>
      </c>
      <c r="C30" s="1">
        <v>212</v>
      </c>
      <c r="T30" s="1" t="str">
        <f t="shared" si="2"/>
        <v>Elk Grove</v>
      </c>
      <c r="U30" s="1" t="str">
        <f t="shared" si="3"/>
        <v xml:space="preserve">California </v>
      </c>
      <c r="V30" s="1" t="str">
        <f t="shared" si="4"/>
        <v>95624</v>
      </c>
    </row>
    <row r="31" spans="1:22" ht="20.100000000000001" customHeight="1" x14ac:dyDescent="0.2">
      <c r="A31" s="1" t="s">
        <v>50</v>
      </c>
      <c r="B31" s="1">
        <v>134085</v>
      </c>
      <c r="C31" s="1">
        <v>175</v>
      </c>
      <c r="T31" s="1" t="str">
        <f t="shared" si="2"/>
        <v>Escondido</v>
      </c>
      <c r="U31" s="1" t="str">
        <f t="shared" si="3"/>
        <v xml:space="preserve">California </v>
      </c>
      <c r="V31" s="1" t="str">
        <f t="shared" si="4"/>
        <v>92025</v>
      </c>
    </row>
    <row r="32" spans="1:22" ht="20.100000000000001" customHeight="1" x14ac:dyDescent="0.2">
      <c r="A32" s="1" t="s">
        <v>51</v>
      </c>
      <c r="B32" s="1">
        <v>104476</v>
      </c>
      <c r="C32" s="1">
        <v>235</v>
      </c>
      <c r="T32" s="1" t="str">
        <f t="shared" si="2"/>
        <v>Fairfield</v>
      </c>
      <c r="U32" s="1" t="str">
        <f t="shared" si="3"/>
        <v xml:space="preserve">California </v>
      </c>
      <c r="V32" s="1" t="str">
        <f t="shared" si="4"/>
        <v>94533</v>
      </c>
    </row>
    <row r="33" spans="1:22" ht="20.100000000000001" customHeight="1" x14ac:dyDescent="0.2">
      <c r="A33" s="1" t="s">
        <v>52</v>
      </c>
      <c r="B33" s="1">
        <v>163860</v>
      </c>
      <c r="C33" s="1">
        <v>138</v>
      </c>
      <c r="T33" s="1" t="str">
        <f t="shared" si="2"/>
        <v>Fontana</v>
      </c>
      <c r="U33" s="1" t="str">
        <f t="shared" si="3"/>
        <v xml:space="preserve">California </v>
      </c>
      <c r="V33" s="1" t="str">
        <f t="shared" si="4"/>
        <v>92335</v>
      </c>
    </row>
    <row r="34" spans="1:22" ht="20.100000000000001" customHeight="1" x14ac:dyDescent="0.2">
      <c r="A34" s="1" t="s">
        <v>53</v>
      </c>
      <c r="B34" s="1">
        <v>200468</v>
      </c>
      <c r="C34" s="1">
        <v>96</v>
      </c>
      <c r="T34" s="1" t="str">
        <f t="shared" si="2"/>
        <v>Fremont</v>
      </c>
      <c r="U34" s="1" t="str">
        <f t="shared" si="3"/>
        <v xml:space="preserve">California </v>
      </c>
      <c r="V34" s="1" t="str">
        <f t="shared" si="4"/>
        <v>94537</v>
      </c>
    </row>
    <row r="35" spans="1:22" ht="20.100000000000001" customHeight="1" x14ac:dyDescent="0.2">
      <c r="A35" s="1" t="s">
        <v>54</v>
      </c>
      <c r="B35" s="1">
        <v>461116</v>
      </c>
      <c r="C35" s="1">
        <v>36</v>
      </c>
      <c r="T35" s="1" t="str">
        <f t="shared" si="2"/>
        <v>Fresno</v>
      </c>
      <c r="U35" s="1" t="str">
        <f t="shared" si="3"/>
        <v xml:space="preserve">California </v>
      </c>
      <c r="V35" s="1" t="str">
        <f t="shared" si="4"/>
        <v>93706</v>
      </c>
    </row>
    <row r="36" spans="1:22" ht="20.100000000000001" customHeight="1" x14ac:dyDescent="0.2">
      <c r="A36" s="1" t="s">
        <v>55</v>
      </c>
      <c r="B36" s="1">
        <v>132787</v>
      </c>
      <c r="C36" s="1">
        <v>177</v>
      </c>
      <c r="T36" s="1" t="str">
        <f t="shared" si="2"/>
        <v>Fullerton</v>
      </c>
      <c r="U36" s="1" t="str">
        <f t="shared" si="3"/>
        <v xml:space="preserve">California </v>
      </c>
      <c r="V36" s="1" t="str">
        <f t="shared" si="4"/>
        <v>92834</v>
      </c>
    </row>
    <row r="37" spans="1:22" ht="20.100000000000001" customHeight="1" x14ac:dyDescent="0.2">
      <c r="A37" s="1" t="s">
        <v>56</v>
      </c>
      <c r="B37" s="1">
        <v>166075</v>
      </c>
      <c r="C37" s="1">
        <v>136</v>
      </c>
      <c r="T37" s="1" t="str">
        <f t="shared" si="2"/>
        <v>Garden Grove</v>
      </c>
      <c r="U37" s="1" t="str">
        <f t="shared" si="3"/>
        <v xml:space="preserve">California </v>
      </c>
      <c r="V37" s="1" t="str">
        <f t="shared" si="4"/>
        <v>92842</v>
      </c>
    </row>
    <row r="38" spans="1:22" ht="20.100000000000001" customHeight="1" x14ac:dyDescent="0.2">
      <c r="A38" s="1" t="s">
        <v>57</v>
      </c>
      <c r="B38" s="1">
        <v>200065</v>
      </c>
      <c r="C38" s="1">
        <v>98</v>
      </c>
      <c r="T38" s="1" t="str">
        <f t="shared" si="2"/>
        <v>Glendale</v>
      </c>
      <c r="U38" s="1" t="str">
        <f t="shared" si="3"/>
        <v xml:space="preserve">California </v>
      </c>
      <c r="V38" s="1" t="str">
        <f t="shared" si="4"/>
        <v>91205</v>
      </c>
    </row>
    <row r="39" spans="1:22" ht="20.100000000000001" customHeight="1" x14ac:dyDescent="0.2">
      <c r="A39" s="1" t="s">
        <v>58</v>
      </c>
      <c r="B39" s="1">
        <v>140293</v>
      </c>
      <c r="C39" s="1">
        <v>165</v>
      </c>
      <c r="T39" s="1" t="str">
        <f t="shared" si="2"/>
        <v>Hayward</v>
      </c>
      <c r="U39" s="1" t="str">
        <f t="shared" si="3"/>
        <v xml:space="preserve">California </v>
      </c>
      <c r="V39" s="1" t="str">
        <f t="shared" si="4"/>
        <v>94544</v>
      </c>
    </row>
    <row r="40" spans="1:22" ht="20.100000000000001" customHeight="1" x14ac:dyDescent="0.2">
      <c r="A40" s="1" t="s">
        <v>59</v>
      </c>
      <c r="B40" s="1">
        <v>194457</v>
      </c>
      <c r="C40" s="1">
        <v>105</v>
      </c>
      <c r="T40" s="1" t="str">
        <f t="shared" si="2"/>
        <v>Huntington Beach</v>
      </c>
      <c r="U40" s="1" t="str">
        <f t="shared" si="3"/>
        <v xml:space="preserve">California </v>
      </c>
      <c r="V40" s="1" t="str">
        <f t="shared" si="4"/>
        <v>92647</v>
      </c>
    </row>
    <row r="41" spans="1:22" ht="20.100000000000001" customHeight="1" x14ac:dyDescent="0.2">
      <c r="A41" s="1" t="s">
        <v>60</v>
      </c>
      <c r="B41" s="1">
        <v>114467</v>
      </c>
      <c r="C41" s="1">
        <v>207</v>
      </c>
      <c r="T41" s="1" t="str">
        <f t="shared" si="2"/>
        <v>Inglewood</v>
      </c>
      <c r="U41" s="1" t="str">
        <f t="shared" si="3"/>
        <v xml:space="preserve">California </v>
      </c>
      <c r="V41" s="1" t="str">
        <f t="shared" si="4"/>
        <v>90301</v>
      </c>
    </row>
    <row r="42" spans="1:22" ht="20.100000000000001" customHeight="1" x14ac:dyDescent="0.2">
      <c r="A42" s="1" t="s">
        <v>61</v>
      </c>
      <c r="B42" s="1">
        <v>186852</v>
      </c>
      <c r="C42" s="1">
        <v>114</v>
      </c>
      <c r="T42" s="1" t="str">
        <f t="shared" si="2"/>
        <v>Irvine</v>
      </c>
      <c r="U42" s="1" t="str">
        <f t="shared" si="3"/>
        <v xml:space="preserve">California </v>
      </c>
      <c r="V42" s="1" t="str">
        <f t="shared" si="4"/>
        <v>92619</v>
      </c>
    </row>
    <row r="43" spans="1:22" ht="20.100000000000001" customHeight="1" x14ac:dyDescent="0.2">
      <c r="A43" s="1" t="s">
        <v>62</v>
      </c>
      <c r="B43" s="1">
        <v>134032</v>
      </c>
      <c r="C43" s="1">
        <v>176</v>
      </c>
      <c r="T43" s="1" t="str">
        <f t="shared" si="2"/>
        <v>Lancaster</v>
      </c>
      <c r="U43" s="1" t="str">
        <f t="shared" si="3"/>
        <v xml:space="preserve">California </v>
      </c>
      <c r="V43" s="1" t="str">
        <f t="shared" si="4"/>
        <v>93534</v>
      </c>
    </row>
    <row r="44" spans="1:22" ht="20.100000000000001" customHeight="1" x14ac:dyDescent="0.2">
      <c r="A44" s="1" t="s">
        <v>63</v>
      </c>
      <c r="B44" s="1">
        <v>474014</v>
      </c>
      <c r="C44" s="1">
        <v>34</v>
      </c>
      <c r="T44" s="1" t="str">
        <f t="shared" si="2"/>
        <v>Long Beach</v>
      </c>
      <c r="U44" s="1" t="str">
        <f t="shared" si="3"/>
        <v xml:space="preserve">California </v>
      </c>
      <c r="V44" s="1" t="str">
        <f t="shared" si="4"/>
        <v>90802</v>
      </c>
    </row>
    <row r="45" spans="1:22" ht="20.100000000000001" customHeight="1" x14ac:dyDescent="0.2">
      <c r="A45" s="1" t="s">
        <v>64</v>
      </c>
      <c r="B45" s="1">
        <v>3844829</v>
      </c>
      <c r="C45" s="1">
        <v>2</v>
      </c>
      <c r="T45" s="1" t="str">
        <f t="shared" si="2"/>
        <v>Los Angeles</v>
      </c>
      <c r="U45" s="1" t="str">
        <f t="shared" si="3"/>
        <v xml:space="preserve">California </v>
      </c>
      <c r="V45" s="1" t="str">
        <f t="shared" si="4"/>
        <v>90052</v>
      </c>
    </row>
    <row r="46" spans="1:22" ht="20.100000000000001" customHeight="1" x14ac:dyDescent="0.2">
      <c r="A46" s="1" t="s">
        <v>65</v>
      </c>
      <c r="B46" s="1">
        <v>207011</v>
      </c>
      <c r="C46" s="1">
        <v>93</v>
      </c>
      <c r="T46" s="1" t="str">
        <f t="shared" si="2"/>
        <v>Modesto</v>
      </c>
      <c r="U46" s="1" t="str">
        <f t="shared" si="3"/>
        <v xml:space="preserve">California </v>
      </c>
      <c r="V46" s="1" t="str">
        <f t="shared" si="4"/>
        <v>95350</v>
      </c>
    </row>
    <row r="47" spans="1:22" ht="20.100000000000001" customHeight="1" x14ac:dyDescent="0.2">
      <c r="A47" s="1" t="s">
        <v>66</v>
      </c>
      <c r="B47" s="1">
        <v>178367</v>
      </c>
      <c r="C47" s="1">
        <v>121</v>
      </c>
      <c r="T47" s="1" t="str">
        <f t="shared" si="2"/>
        <v>Moreno Valley</v>
      </c>
      <c r="U47" s="1" t="str">
        <f t="shared" si="3"/>
        <v xml:space="preserve">California </v>
      </c>
      <c r="V47" s="1" t="str">
        <f t="shared" si="4"/>
        <v>92553</v>
      </c>
    </row>
    <row r="48" spans="1:22" ht="20.100000000000001" customHeight="1" x14ac:dyDescent="0.2">
      <c r="A48" s="1" t="s">
        <v>67</v>
      </c>
      <c r="B48" s="1">
        <v>105834</v>
      </c>
      <c r="C48" s="1">
        <v>230</v>
      </c>
      <c r="T48" s="1" t="str">
        <f t="shared" si="2"/>
        <v>Norwalk</v>
      </c>
      <c r="U48" s="1" t="str">
        <f t="shared" si="3"/>
        <v xml:space="preserve">California </v>
      </c>
      <c r="V48" s="1" t="str">
        <f t="shared" si="4"/>
        <v>90650</v>
      </c>
    </row>
    <row r="49" spans="1:22" ht="20.100000000000001" customHeight="1" x14ac:dyDescent="0.2">
      <c r="A49" s="1" t="s">
        <v>68</v>
      </c>
      <c r="B49" s="1">
        <v>395274</v>
      </c>
      <c r="C49" s="1">
        <v>44</v>
      </c>
      <c r="T49" s="1" t="str">
        <f t="shared" si="2"/>
        <v>Oakland</v>
      </c>
      <c r="U49" s="1" t="str">
        <f t="shared" si="3"/>
        <v xml:space="preserve">California </v>
      </c>
      <c r="V49" s="1" t="str">
        <f t="shared" si="4"/>
        <v>94612</v>
      </c>
    </row>
    <row r="50" spans="1:22" ht="20.100000000000001" customHeight="1" x14ac:dyDescent="0.2">
      <c r="A50" s="1" t="s">
        <v>69</v>
      </c>
      <c r="B50" s="1">
        <v>166108</v>
      </c>
      <c r="C50" s="1">
        <v>135</v>
      </c>
      <c r="T50" s="1" t="str">
        <f t="shared" si="2"/>
        <v>Oceanside</v>
      </c>
      <c r="U50" s="1" t="str">
        <f t="shared" si="3"/>
        <v xml:space="preserve">California </v>
      </c>
      <c r="V50" s="1" t="str">
        <f t="shared" si="4"/>
        <v>92054</v>
      </c>
    </row>
    <row r="51" spans="1:22" ht="20.100000000000001" customHeight="1" x14ac:dyDescent="0.2">
      <c r="A51" s="1" t="s">
        <v>70</v>
      </c>
      <c r="B51" s="1">
        <v>172679</v>
      </c>
      <c r="C51" s="1">
        <v>128</v>
      </c>
      <c r="T51" s="1" t="str">
        <f t="shared" si="2"/>
        <v>Ontario</v>
      </c>
      <c r="U51" s="1" t="str">
        <f t="shared" si="3"/>
        <v xml:space="preserve">California </v>
      </c>
      <c r="V51" s="1" t="str">
        <f t="shared" si="4"/>
        <v>91761</v>
      </c>
    </row>
    <row r="52" spans="1:22" ht="20.100000000000001" customHeight="1" x14ac:dyDescent="0.2">
      <c r="A52" s="1" t="s">
        <v>71</v>
      </c>
      <c r="B52" s="1">
        <v>134950</v>
      </c>
      <c r="C52" s="1">
        <v>173</v>
      </c>
      <c r="T52" s="1" t="str">
        <f t="shared" si="2"/>
        <v>Orange</v>
      </c>
      <c r="U52" s="1" t="str">
        <f t="shared" si="3"/>
        <v xml:space="preserve">California </v>
      </c>
      <c r="V52" s="1" t="str">
        <f t="shared" si="4"/>
        <v>92863</v>
      </c>
    </row>
    <row r="53" spans="1:22" ht="20.100000000000001" customHeight="1" x14ac:dyDescent="0.2">
      <c r="A53" s="1" t="s">
        <v>72</v>
      </c>
      <c r="B53" s="1">
        <v>183628</v>
      </c>
      <c r="C53" s="1">
        <v>117</v>
      </c>
      <c r="T53" s="1" t="str">
        <f t="shared" si="2"/>
        <v>Oxnard</v>
      </c>
      <c r="U53" s="1" t="str">
        <f t="shared" si="3"/>
        <v xml:space="preserve">California </v>
      </c>
      <c r="V53" s="1" t="str">
        <f t="shared" si="4"/>
        <v>93030</v>
      </c>
    </row>
    <row r="54" spans="1:22" ht="20.100000000000001" customHeight="1" x14ac:dyDescent="0.2">
      <c r="A54" s="1" t="s">
        <v>73</v>
      </c>
      <c r="B54" s="1">
        <v>134570</v>
      </c>
      <c r="C54" s="1">
        <v>174</v>
      </c>
      <c r="T54" s="1" t="str">
        <f t="shared" si="2"/>
        <v>Palmdale</v>
      </c>
      <c r="U54" s="1" t="str">
        <f t="shared" si="3"/>
        <v xml:space="preserve">California </v>
      </c>
      <c r="V54" s="1" t="str">
        <f t="shared" si="4"/>
        <v>93550</v>
      </c>
    </row>
    <row r="55" spans="1:22" ht="20.100000000000001" customHeight="1" x14ac:dyDescent="0.2">
      <c r="A55" s="1" t="s">
        <v>74</v>
      </c>
      <c r="B55" s="1">
        <v>143731</v>
      </c>
      <c r="C55" s="1">
        <v>160</v>
      </c>
      <c r="T55" s="1" t="str">
        <f t="shared" si="2"/>
        <v>Pasadena</v>
      </c>
      <c r="U55" s="1" t="str">
        <f t="shared" si="3"/>
        <v xml:space="preserve">California </v>
      </c>
      <c r="V55" s="1" t="str">
        <f t="shared" si="4"/>
        <v>91103</v>
      </c>
    </row>
    <row r="56" spans="1:22" ht="20.100000000000001" customHeight="1" x14ac:dyDescent="0.2">
      <c r="A56" s="1" t="s">
        <v>75</v>
      </c>
      <c r="B56" s="1">
        <v>153787</v>
      </c>
      <c r="C56" s="1">
        <v>144</v>
      </c>
      <c r="T56" s="1" t="str">
        <f t="shared" si="2"/>
        <v>Pomona</v>
      </c>
      <c r="U56" s="1" t="str">
        <f t="shared" si="3"/>
        <v xml:space="preserve">California </v>
      </c>
      <c r="V56" s="1" t="str">
        <f t="shared" si="4"/>
        <v>91769</v>
      </c>
    </row>
    <row r="57" spans="1:22" ht="20.100000000000001" customHeight="1" x14ac:dyDescent="0.2">
      <c r="A57" s="1" t="s">
        <v>76</v>
      </c>
      <c r="B57" s="1">
        <v>169353</v>
      </c>
      <c r="C57" s="1">
        <v>129</v>
      </c>
      <c r="T57" s="1" t="str">
        <f t="shared" si="2"/>
        <v>Rancho Cucamonga</v>
      </c>
      <c r="U57" s="1" t="str">
        <f t="shared" si="3"/>
        <v xml:space="preserve">California </v>
      </c>
      <c r="V57" s="1" t="str">
        <f t="shared" si="4"/>
        <v>91729</v>
      </c>
    </row>
    <row r="58" spans="1:22" ht="20.100000000000001" customHeight="1" x14ac:dyDescent="0.2">
      <c r="A58" s="1" t="s">
        <v>77</v>
      </c>
      <c r="B58" s="1">
        <v>102186</v>
      </c>
      <c r="C58" s="1">
        <v>245</v>
      </c>
      <c r="T58" s="1" t="str">
        <f t="shared" si="2"/>
        <v>Richmond</v>
      </c>
      <c r="U58" s="1" t="str">
        <f t="shared" si="3"/>
        <v xml:space="preserve">California </v>
      </c>
      <c r="V58" s="1" t="str">
        <f t="shared" si="4"/>
        <v>94801</v>
      </c>
    </row>
    <row r="59" spans="1:22" ht="20.100000000000001" customHeight="1" x14ac:dyDescent="0.2">
      <c r="A59" s="1" t="s">
        <v>78</v>
      </c>
      <c r="B59" s="1">
        <v>290086</v>
      </c>
      <c r="C59" s="1">
        <v>62</v>
      </c>
      <c r="T59" s="1" t="str">
        <f t="shared" si="2"/>
        <v>Riverside</v>
      </c>
      <c r="U59" s="1" t="str">
        <f t="shared" si="3"/>
        <v xml:space="preserve">California </v>
      </c>
      <c r="V59" s="1" t="str">
        <f t="shared" si="4"/>
        <v>92507</v>
      </c>
    </row>
    <row r="60" spans="1:22" ht="20.100000000000001" customHeight="1" x14ac:dyDescent="0.2">
      <c r="A60" s="1" t="s">
        <v>79</v>
      </c>
      <c r="B60" s="1">
        <v>105940</v>
      </c>
      <c r="C60" s="1">
        <v>229</v>
      </c>
      <c r="T60" s="1" t="str">
        <f t="shared" si="2"/>
        <v>Roseville</v>
      </c>
      <c r="U60" s="1" t="str">
        <f t="shared" si="3"/>
        <v xml:space="preserve">California </v>
      </c>
      <c r="V60" s="1" t="str">
        <f t="shared" si="4"/>
        <v>95661</v>
      </c>
    </row>
    <row r="61" spans="1:22" ht="20.100000000000001" customHeight="1" x14ac:dyDescent="0.2">
      <c r="A61" s="1" t="s">
        <v>80</v>
      </c>
      <c r="B61" s="1">
        <v>456441</v>
      </c>
      <c r="C61" s="1">
        <v>37</v>
      </c>
      <c r="T61" s="1" t="str">
        <f t="shared" si="2"/>
        <v>Sacramento</v>
      </c>
      <c r="U61" s="1" t="str">
        <f t="shared" si="3"/>
        <v xml:space="preserve">California </v>
      </c>
      <c r="V61" s="1" t="str">
        <f t="shared" si="4"/>
        <v>95813</v>
      </c>
    </row>
    <row r="62" spans="1:22" ht="20.100000000000001" customHeight="1" x14ac:dyDescent="0.2">
      <c r="A62" s="1" t="s">
        <v>81</v>
      </c>
      <c r="B62" s="1">
        <v>146431</v>
      </c>
      <c r="C62" s="1">
        <v>153</v>
      </c>
      <c r="T62" s="1" t="str">
        <f t="shared" si="2"/>
        <v>Salinas</v>
      </c>
      <c r="U62" s="1" t="str">
        <f t="shared" si="3"/>
        <v xml:space="preserve">California </v>
      </c>
      <c r="V62" s="1" t="str">
        <f t="shared" si="4"/>
        <v>93907</v>
      </c>
    </row>
    <row r="63" spans="1:22" ht="20.100000000000001" customHeight="1" x14ac:dyDescent="0.2">
      <c r="A63" s="1" t="s">
        <v>82</v>
      </c>
      <c r="B63" s="1">
        <v>198550</v>
      </c>
      <c r="C63" s="1">
        <v>100</v>
      </c>
      <c r="T63" s="1" t="str">
        <f t="shared" si="2"/>
        <v>San Bernardino</v>
      </c>
      <c r="U63" s="1" t="str">
        <f t="shared" si="3"/>
        <v xml:space="preserve">California </v>
      </c>
      <c r="V63" s="1" t="str">
        <f t="shared" si="4"/>
        <v>92401</v>
      </c>
    </row>
    <row r="64" spans="1:22" ht="20.100000000000001" customHeight="1" x14ac:dyDescent="0.2">
      <c r="A64" s="1" t="s">
        <v>83</v>
      </c>
      <c r="B64" s="1">
        <v>104017</v>
      </c>
      <c r="C64" s="1">
        <v>239</v>
      </c>
      <c r="T64" s="1" t="str">
        <f t="shared" si="2"/>
        <v>Ventura</v>
      </c>
      <c r="U64" s="1" t="str">
        <f t="shared" si="3"/>
        <v xml:space="preserve">California </v>
      </c>
      <c r="V64" s="1" t="str">
        <f t="shared" si="4"/>
        <v>93001</v>
      </c>
    </row>
    <row r="65" spans="1:22" ht="20.100000000000001" customHeight="1" x14ac:dyDescent="0.2">
      <c r="A65" s="1" t="s">
        <v>84</v>
      </c>
      <c r="B65" s="1">
        <v>1255540</v>
      </c>
      <c r="C65" s="1">
        <v>8</v>
      </c>
      <c r="T65" s="1" t="str">
        <f t="shared" si="2"/>
        <v>San Diego</v>
      </c>
      <c r="U65" s="1" t="str">
        <f t="shared" si="3"/>
        <v xml:space="preserve">California </v>
      </c>
      <c r="V65" s="1" t="str">
        <f t="shared" si="4"/>
        <v>92199</v>
      </c>
    </row>
    <row r="66" spans="1:22" ht="20.100000000000001" customHeight="1" x14ac:dyDescent="0.2">
      <c r="A66" s="1" t="s">
        <v>85</v>
      </c>
      <c r="B66" s="1">
        <v>739426</v>
      </c>
      <c r="C66" s="1">
        <v>14</v>
      </c>
      <c r="T66" s="1" t="str">
        <f t="shared" si="2"/>
        <v>San Francisco</v>
      </c>
      <c r="U66" s="1" t="str">
        <f t="shared" si="3"/>
        <v xml:space="preserve">California </v>
      </c>
      <c r="V66" s="1" t="str">
        <f t="shared" si="4"/>
        <v>94188</v>
      </c>
    </row>
    <row r="67" spans="1:22" ht="20.100000000000001" customHeight="1" x14ac:dyDescent="0.2">
      <c r="A67" s="1" t="s">
        <v>86</v>
      </c>
      <c r="B67" s="1">
        <v>912332</v>
      </c>
      <c r="C67" s="1">
        <v>10</v>
      </c>
      <c r="T67" s="1" t="str">
        <f t="shared" si="2"/>
        <v>San Jose</v>
      </c>
      <c r="U67" s="1" t="str">
        <f t="shared" si="3"/>
        <v xml:space="preserve">California </v>
      </c>
      <c r="V67" s="1" t="str">
        <f t="shared" si="4"/>
        <v>95101</v>
      </c>
    </row>
    <row r="68" spans="1:22" ht="20.100000000000001" customHeight="1" x14ac:dyDescent="0.2">
      <c r="A68" s="1" t="s">
        <v>87</v>
      </c>
      <c r="B68" s="1">
        <v>340368</v>
      </c>
      <c r="C68" s="1">
        <v>54</v>
      </c>
      <c r="T68" s="1" t="str">
        <f t="shared" ref="T68:T131" si="5">LEFT(A68,FIND(",",A68)-1)</f>
        <v>Santa Ana</v>
      </c>
      <c r="U68" s="1" t="str">
        <f t="shared" ref="U68:U131" si="6">MID(A68,FIND(",",A68)+2,LEN(A68)-FIND(",",A68)-7)</f>
        <v xml:space="preserve">California </v>
      </c>
      <c r="V68" s="1" t="str">
        <f t="shared" ref="V68:V131" si="7">RIGHT(A68,5)</f>
        <v>92711</v>
      </c>
    </row>
    <row r="69" spans="1:22" ht="20.100000000000001" customHeight="1" x14ac:dyDescent="0.2">
      <c r="A69" s="1" t="s">
        <v>88</v>
      </c>
      <c r="B69" s="1">
        <v>105402</v>
      </c>
      <c r="C69" s="1">
        <v>231</v>
      </c>
      <c r="T69" s="1" t="str">
        <f t="shared" si="5"/>
        <v>Santa Clara</v>
      </c>
      <c r="U69" s="1" t="str">
        <f t="shared" si="6"/>
        <v xml:space="preserve">California </v>
      </c>
      <c r="V69" s="1" t="str">
        <f t="shared" si="7"/>
        <v>95050</v>
      </c>
    </row>
    <row r="70" spans="1:22" ht="20.100000000000001" customHeight="1" x14ac:dyDescent="0.2">
      <c r="A70" s="1" t="s">
        <v>89</v>
      </c>
      <c r="B70" s="1">
        <v>168253</v>
      </c>
      <c r="C70" s="1">
        <v>130</v>
      </c>
      <c r="T70" s="1" t="str">
        <f t="shared" si="5"/>
        <v>Santa Clarita</v>
      </c>
      <c r="U70" s="1" t="str">
        <f t="shared" si="6"/>
        <v xml:space="preserve">California </v>
      </c>
      <c r="V70" s="1" t="str">
        <f t="shared" si="7"/>
        <v>91355</v>
      </c>
    </row>
    <row r="71" spans="1:22" ht="20.100000000000001" customHeight="1" x14ac:dyDescent="0.2">
      <c r="A71" s="1" t="s">
        <v>90</v>
      </c>
      <c r="B71" s="1">
        <v>153158</v>
      </c>
      <c r="C71" s="1">
        <v>145</v>
      </c>
      <c r="T71" s="1" t="str">
        <f t="shared" si="5"/>
        <v>Santa Rosa</v>
      </c>
      <c r="U71" s="1" t="str">
        <f t="shared" si="6"/>
        <v xml:space="preserve">California </v>
      </c>
      <c r="V71" s="1" t="str">
        <f t="shared" si="7"/>
        <v>95402</v>
      </c>
    </row>
    <row r="72" spans="1:22" ht="20.100000000000001" customHeight="1" x14ac:dyDescent="0.2">
      <c r="A72" s="1" t="s">
        <v>91</v>
      </c>
      <c r="B72" s="1">
        <v>118687</v>
      </c>
      <c r="C72" s="1">
        <v>198</v>
      </c>
      <c r="T72" s="1" t="str">
        <f t="shared" si="5"/>
        <v>Simi Valley</v>
      </c>
      <c r="U72" s="1" t="str">
        <f t="shared" si="6"/>
        <v xml:space="preserve">California </v>
      </c>
      <c r="V72" s="1" t="str">
        <f t="shared" si="7"/>
        <v>93065</v>
      </c>
    </row>
    <row r="73" spans="1:22" ht="20.100000000000001" customHeight="1" x14ac:dyDescent="0.2">
      <c r="A73" s="1" t="s">
        <v>92</v>
      </c>
      <c r="B73" s="1">
        <v>286926</v>
      </c>
      <c r="C73" s="1">
        <v>63</v>
      </c>
      <c r="T73" s="1" t="str">
        <f t="shared" si="5"/>
        <v>Stockton</v>
      </c>
      <c r="U73" s="1" t="str">
        <f t="shared" si="6"/>
        <v xml:space="preserve">California </v>
      </c>
      <c r="V73" s="1" t="str">
        <f t="shared" si="7"/>
        <v>95208</v>
      </c>
    </row>
    <row r="74" spans="1:22" ht="20.100000000000001" customHeight="1" x14ac:dyDescent="0.2">
      <c r="A74" s="1" t="s">
        <v>93</v>
      </c>
      <c r="B74" s="1">
        <v>128902</v>
      </c>
      <c r="C74" s="1">
        <v>181</v>
      </c>
      <c r="T74" s="1" t="str">
        <f t="shared" si="5"/>
        <v>Sunnyvale</v>
      </c>
      <c r="U74" s="1" t="str">
        <f t="shared" si="6"/>
        <v xml:space="preserve">California </v>
      </c>
      <c r="V74" s="1" t="str">
        <f t="shared" si="7"/>
        <v>94086</v>
      </c>
    </row>
    <row r="75" spans="1:22" ht="20.100000000000001" customHeight="1" x14ac:dyDescent="0.2">
      <c r="A75" s="1" t="s">
        <v>94</v>
      </c>
      <c r="B75" s="1">
        <v>124359</v>
      </c>
      <c r="C75" s="1">
        <v>189</v>
      </c>
      <c r="T75" s="1" t="str">
        <f t="shared" si="5"/>
        <v>Thousand Oaks</v>
      </c>
      <c r="U75" s="1" t="str">
        <f t="shared" si="6"/>
        <v xml:space="preserve">California </v>
      </c>
      <c r="V75" s="1" t="str">
        <f t="shared" si="7"/>
        <v>91362</v>
      </c>
    </row>
    <row r="76" spans="1:22" ht="20.100000000000001" customHeight="1" x14ac:dyDescent="0.2">
      <c r="A76" s="1" t="s">
        <v>95</v>
      </c>
      <c r="B76" s="1">
        <v>142384</v>
      </c>
      <c r="C76" s="1">
        <v>161</v>
      </c>
      <c r="T76" s="1" t="str">
        <f t="shared" si="5"/>
        <v>Torrance</v>
      </c>
      <c r="U76" s="1" t="str">
        <f t="shared" si="6"/>
        <v xml:space="preserve">California </v>
      </c>
      <c r="V76" s="1" t="str">
        <f t="shared" si="7"/>
        <v>90503</v>
      </c>
    </row>
    <row r="77" spans="1:22" ht="20.100000000000001" customHeight="1" x14ac:dyDescent="0.2">
      <c r="A77" s="1" t="s">
        <v>96</v>
      </c>
      <c r="B77" s="1">
        <v>117483</v>
      </c>
      <c r="C77" s="1">
        <v>200</v>
      </c>
      <c r="T77" s="1" t="str">
        <f t="shared" si="5"/>
        <v>Vallejo</v>
      </c>
      <c r="U77" s="1" t="str">
        <f t="shared" si="6"/>
        <v xml:space="preserve">California </v>
      </c>
      <c r="V77" s="1" t="str">
        <f t="shared" si="7"/>
        <v>94590</v>
      </c>
    </row>
    <row r="78" spans="1:22" ht="20.100000000000001" customHeight="1" x14ac:dyDescent="0.2">
      <c r="A78" s="1" t="s">
        <v>97</v>
      </c>
      <c r="B78" s="1">
        <v>108669</v>
      </c>
      <c r="C78" s="1">
        <v>221</v>
      </c>
      <c r="T78" s="1" t="str">
        <f t="shared" si="5"/>
        <v>Visalia</v>
      </c>
      <c r="U78" s="1" t="str">
        <f t="shared" si="6"/>
        <v xml:space="preserve">California </v>
      </c>
      <c r="V78" s="1" t="str">
        <f t="shared" si="7"/>
        <v>93277</v>
      </c>
    </row>
    <row r="79" spans="1:22" ht="20.100000000000001" customHeight="1" x14ac:dyDescent="0.2">
      <c r="A79" s="1" t="s">
        <v>98</v>
      </c>
      <c r="B79" s="1">
        <v>108185</v>
      </c>
      <c r="C79" s="1">
        <v>222</v>
      </c>
      <c r="T79" s="1" t="str">
        <f t="shared" si="5"/>
        <v>West Covina</v>
      </c>
      <c r="U79" s="1" t="str">
        <f t="shared" si="6"/>
        <v xml:space="preserve">California </v>
      </c>
      <c r="V79" s="1" t="str">
        <f t="shared" si="7"/>
        <v>91793</v>
      </c>
    </row>
    <row r="80" spans="1:22" ht="20.100000000000001" customHeight="1" x14ac:dyDescent="0.2">
      <c r="A80" s="1" t="s">
        <v>99</v>
      </c>
      <c r="B80" s="1">
        <v>103966</v>
      </c>
      <c r="C80" s="1">
        <v>240</v>
      </c>
      <c r="T80" s="1" t="str">
        <f t="shared" si="5"/>
        <v>Arvada</v>
      </c>
      <c r="U80" s="1" t="str">
        <f t="shared" si="6"/>
        <v xml:space="preserve">Colorado </v>
      </c>
      <c r="V80" s="1" t="str">
        <f t="shared" si="7"/>
        <v>80004</v>
      </c>
    </row>
    <row r="81" spans="1:22" ht="20.100000000000001" customHeight="1" x14ac:dyDescent="0.2">
      <c r="A81" s="1" t="s">
        <v>100</v>
      </c>
      <c r="B81" s="1">
        <v>297235</v>
      </c>
      <c r="C81" s="1">
        <v>60</v>
      </c>
      <c r="T81" s="1" t="str">
        <f t="shared" si="5"/>
        <v>Aurora</v>
      </c>
      <c r="U81" s="1" t="str">
        <f t="shared" si="6"/>
        <v xml:space="preserve">Colorado </v>
      </c>
      <c r="V81" s="1" t="str">
        <f t="shared" si="7"/>
        <v>80017</v>
      </c>
    </row>
    <row r="82" spans="1:22" ht="20.100000000000001" customHeight="1" x14ac:dyDescent="0.2">
      <c r="A82" s="1" t="s">
        <v>101</v>
      </c>
      <c r="B82" s="1">
        <v>369815</v>
      </c>
      <c r="C82" s="1">
        <v>49</v>
      </c>
      <c r="T82" s="1" t="str">
        <f t="shared" si="5"/>
        <v>Colorado Springs</v>
      </c>
      <c r="U82" s="1" t="str">
        <f t="shared" si="6"/>
        <v xml:space="preserve">Colorado </v>
      </c>
      <c r="V82" s="1" t="str">
        <f t="shared" si="7"/>
        <v>80903</v>
      </c>
    </row>
    <row r="83" spans="1:22" ht="20.100000000000001" customHeight="1" x14ac:dyDescent="0.2">
      <c r="A83" s="1" t="s">
        <v>102</v>
      </c>
      <c r="B83" s="1">
        <v>557917</v>
      </c>
      <c r="C83" s="1">
        <v>25</v>
      </c>
      <c r="T83" s="1" t="str">
        <f t="shared" si="5"/>
        <v>Denver</v>
      </c>
      <c r="U83" s="1" t="str">
        <f t="shared" si="6"/>
        <v xml:space="preserve">Colorado </v>
      </c>
      <c r="V83" s="1" t="str">
        <f t="shared" si="7"/>
        <v>80202</v>
      </c>
    </row>
    <row r="84" spans="1:22" ht="20.100000000000001" customHeight="1" x14ac:dyDescent="0.2">
      <c r="A84" s="1" t="s">
        <v>103</v>
      </c>
      <c r="B84" s="1">
        <v>128026</v>
      </c>
      <c r="C84" s="1">
        <v>185</v>
      </c>
      <c r="T84" s="1" t="str">
        <f t="shared" si="5"/>
        <v>Fort Collins</v>
      </c>
      <c r="U84" s="1" t="str">
        <f t="shared" si="6"/>
        <v xml:space="preserve">Colorado </v>
      </c>
      <c r="V84" s="1" t="str">
        <f t="shared" si="7"/>
        <v>80525</v>
      </c>
    </row>
    <row r="85" spans="1:22" ht="20.100000000000001" customHeight="1" x14ac:dyDescent="0.2">
      <c r="A85" s="1" t="s">
        <v>104</v>
      </c>
      <c r="B85" s="1">
        <v>140671</v>
      </c>
      <c r="C85" s="1">
        <v>164</v>
      </c>
      <c r="T85" s="1" t="str">
        <f t="shared" si="5"/>
        <v>Lakewood</v>
      </c>
      <c r="U85" s="1" t="str">
        <f t="shared" si="6"/>
        <v xml:space="preserve">Colorado </v>
      </c>
      <c r="V85" s="1" t="str">
        <f t="shared" si="7"/>
        <v>80202</v>
      </c>
    </row>
    <row r="86" spans="1:22" ht="20.100000000000001" customHeight="1" x14ac:dyDescent="0.2">
      <c r="A86" s="1" t="s">
        <v>105</v>
      </c>
      <c r="B86" s="1">
        <v>103495</v>
      </c>
      <c r="C86" s="1">
        <v>241</v>
      </c>
      <c r="T86" s="1" t="str">
        <f t="shared" si="5"/>
        <v>Pueblo</v>
      </c>
      <c r="U86" s="1" t="str">
        <f t="shared" si="6"/>
        <v xml:space="preserve">Colorado </v>
      </c>
      <c r="V86" s="1" t="str">
        <f t="shared" si="7"/>
        <v>81003</v>
      </c>
    </row>
    <row r="87" spans="1:22" ht="20.100000000000001" customHeight="1" x14ac:dyDescent="0.2">
      <c r="A87" s="1" t="s">
        <v>106</v>
      </c>
      <c r="B87" s="1">
        <v>105182</v>
      </c>
      <c r="C87" s="1">
        <v>233</v>
      </c>
      <c r="T87" s="1" t="str">
        <f t="shared" si="5"/>
        <v>Thornton</v>
      </c>
      <c r="U87" s="1" t="str">
        <f t="shared" si="6"/>
        <v xml:space="preserve">Colorado </v>
      </c>
      <c r="V87" s="1" t="str">
        <f t="shared" si="7"/>
        <v>80221</v>
      </c>
    </row>
    <row r="88" spans="1:22" ht="20.100000000000001" customHeight="1" x14ac:dyDescent="0.2">
      <c r="A88" s="1" t="s">
        <v>107</v>
      </c>
      <c r="B88" s="1">
        <v>105084</v>
      </c>
      <c r="C88" s="1">
        <v>234</v>
      </c>
      <c r="T88" s="1" t="str">
        <f t="shared" si="5"/>
        <v>Westminster</v>
      </c>
      <c r="U88" s="1" t="str">
        <f t="shared" si="6"/>
        <v xml:space="preserve">Colorado </v>
      </c>
      <c r="V88" s="1" t="str">
        <f t="shared" si="7"/>
        <v>80030</v>
      </c>
    </row>
    <row r="89" spans="1:22" ht="20.100000000000001" customHeight="1" x14ac:dyDescent="0.2">
      <c r="A89" s="1" t="s">
        <v>108</v>
      </c>
      <c r="B89" s="1">
        <v>139008</v>
      </c>
      <c r="C89" s="1">
        <v>168</v>
      </c>
      <c r="T89" s="1" t="str">
        <f t="shared" si="5"/>
        <v>Bridgeport</v>
      </c>
      <c r="U89" s="1" t="str">
        <f t="shared" si="6"/>
        <v xml:space="preserve">Connecticut </v>
      </c>
      <c r="V89" s="1" t="str">
        <f t="shared" si="7"/>
        <v>06602</v>
      </c>
    </row>
    <row r="90" spans="1:22" ht="20.100000000000001" customHeight="1" x14ac:dyDescent="0.2">
      <c r="A90" s="1" t="s">
        <v>109</v>
      </c>
      <c r="B90" s="1">
        <v>124397</v>
      </c>
      <c r="C90" s="1">
        <v>188</v>
      </c>
      <c r="T90" s="1" t="str">
        <f t="shared" si="5"/>
        <v>Hartford</v>
      </c>
      <c r="U90" s="1" t="str">
        <f t="shared" si="6"/>
        <v xml:space="preserve">Connecticut </v>
      </c>
      <c r="V90" s="1" t="str">
        <f t="shared" si="7"/>
        <v>06101</v>
      </c>
    </row>
    <row r="91" spans="1:22" ht="20.100000000000001" customHeight="1" x14ac:dyDescent="0.2">
      <c r="A91" s="1" t="s">
        <v>110</v>
      </c>
      <c r="B91" s="1">
        <v>124791</v>
      </c>
      <c r="C91" s="1">
        <v>187</v>
      </c>
      <c r="T91" s="1" t="str">
        <f t="shared" si="5"/>
        <v>New Haven</v>
      </c>
      <c r="U91" s="1" t="str">
        <f t="shared" si="6"/>
        <v xml:space="preserve">Connecticut </v>
      </c>
      <c r="V91" s="1" t="str">
        <f t="shared" si="7"/>
        <v>06511</v>
      </c>
    </row>
    <row r="92" spans="1:22" ht="20.100000000000001" customHeight="1" x14ac:dyDescent="0.2">
      <c r="A92" s="1" t="s">
        <v>111</v>
      </c>
      <c r="B92" s="1">
        <v>120045</v>
      </c>
      <c r="C92" s="1">
        <v>196</v>
      </c>
      <c r="T92" s="1" t="str">
        <f t="shared" si="5"/>
        <v>Stamford</v>
      </c>
      <c r="U92" s="1" t="str">
        <f t="shared" si="6"/>
        <v xml:space="preserve">Connecticut </v>
      </c>
      <c r="V92" s="1" t="str">
        <f t="shared" si="7"/>
        <v>06904</v>
      </c>
    </row>
    <row r="93" spans="1:22" ht="20.100000000000001" customHeight="1" x14ac:dyDescent="0.2">
      <c r="A93" s="1" t="s">
        <v>112</v>
      </c>
      <c r="B93" s="1">
        <v>107902</v>
      </c>
      <c r="C93" s="1">
        <v>224</v>
      </c>
      <c r="T93" s="1" t="str">
        <f t="shared" si="5"/>
        <v>Waterbury</v>
      </c>
      <c r="U93" s="1" t="str">
        <f t="shared" si="6"/>
        <v xml:space="preserve">Connecticut </v>
      </c>
      <c r="V93" s="1" t="str">
        <f t="shared" si="7"/>
        <v>06702</v>
      </c>
    </row>
    <row r="94" spans="1:22" ht="20.100000000000001" customHeight="1" x14ac:dyDescent="0.2">
      <c r="A94" s="1" t="s">
        <v>113</v>
      </c>
      <c r="B94" s="1">
        <v>550521</v>
      </c>
      <c r="C94" s="1">
        <v>27</v>
      </c>
      <c r="T94" s="1" t="str">
        <f t="shared" si="5"/>
        <v>Washington</v>
      </c>
      <c r="U94" s="1" t="str">
        <f t="shared" si="6"/>
        <v xml:space="preserve">D.C. </v>
      </c>
      <c r="V94" s="1" t="str">
        <f t="shared" si="7"/>
        <v>20090</v>
      </c>
    </row>
    <row r="95" spans="1:22" ht="20.100000000000001" customHeight="1" x14ac:dyDescent="0.2">
      <c r="A95" s="1" t="s">
        <v>114</v>
      </c>
      <c r="B95" s="1">
        <v>140010</v>
      </c>
      <c r="C95" s="1">
        <v>166</v>
      </c>
      <c r="T95" s="1" t="str">
        <f t="shared" si="5"/>
        <v>Cape Coral</v>
      </c>
      <c r="U95" s="1" t="str">
        <f t="shared" si="6"/>
        <v xml:space="preserve">Florida </v>
      </c>
      <c r="V95" s="1" t="str">
        <f t="shared" si="7"/>
        <v>33909</v>
      </c>
    </row>
    <row r="96" spans="1:22" ht="20.100000000000001" customHeight="1" x14ac:dyDescent="0.2">
      <c r="A96" s="1" t="s">
        <v>115</v>
      </c>
      <c r="B96" s="1">
        <v>108687</v>
      </c>
      <c r="C96" s="1">
        <v>220</v>
      </c>
      <c r="T96" s="1" t="str">
        <f t="shared" si="5"/>
        <v>Clearwater</v>
      </c>
      <c r="U96" s="1" t="str">
        <f t="shared" si="6"/>
        <v xml:space="preserve">Florida </v>
      </c>
      <c r="V96" s="1" t="str">
        <f t="shared" si="7"/>
        <v>33990</v>
      </c>
    </row>
    <row r="97" spans="1:22" ht="20.100000000000001" customHeight="1" x14ac:dyDescent="0.2">
      <c r="A97" s="1" t="s">
        <v>116</v>
      </c>
      <c r="B97" s="1">
        <v>128804</v>
      </c>
      <c r="C97" s="1">
        <v>182</v>
      </c>
      <c r="T97" s="1" t="str">
        <f t="shared" si="5"/>
        <v>Coral Springs</v>
      </c>
      <c r="U97" s="1" t="str">
        <f t="shared" si="6"/>
        <v xml:space="preserve">Florida </v>
      </c>
      <c r="V97" s="1" t="str">
        <f t="shared" si="7"/>
        <v>33075</v>
      </c>
    </row>
    <row r="98" spans="1:22" ht="20.100000000000001" customHeight="1" x14ac:dyDescent="0.2">
      <c r="A98" s="1" t="s">
        <v>117</v>
      </c>
      <c r="B98" s="1">
        <v>167380</v>
      </c>
      <c r="C98" s="1">
        <v>133</v>
      </c>
      <c r="T98" s="1" t="str">
        <f t="shared" si="5"/>
        <v>Fort Lauderdale</v>
      </c>
      <c r="U98" s="1" t="str">
        <f t="shared" si="6"/>
        <v xml:space="preserve">Florida </v>
      </c>
      <c r="V98" s="1" t="str">
        <f t="shared" si="7"/>
        <v>33310</v>
      </c>
    </row>
    <row r="99" spans="1:22" ht="20.100000000000001" customHeight="1" x14ac:dyDescent="0.2">
      <c r="A99" s="1" t="s">
        <v>118</v>
      </c>
      <c r="B99" s="1">
        <v>108184</v>
      </c>
      <c r="C99" s="1">
        <v>223</v>
      </c>
      <c r="T99" s="1" t="str">
        <f t="shared" si="5"/>
        <v>Gainesville</v>
      </c>
      <c r="U99" s="1" t="str">
        <f t="shared" si="6"/>
        <v xml:space="preserve">Florida </v>
      </c>
      <c r="V99" s="1" t="str">
        <f t="shared" si="7"/>
        <v>32601</v>
      </c>
    </row>
    <row r="100" spans="1:22" ht="20.100000000000001" customHeight="1" x14ac:dyDescent="0.2">
      <c r="A100" s="1" t="s">
        <v>119</v>
      </c>
      <c r="B100" s="1">
        <v>220485</v>
      </c>
      <c r="C100" s="1">
        <v>84</v>
      </c>
      <c r="T100" s="1" t="str">
        <f t="shared" si="5"/>
        <v>Hialeah</v>
      </c>
      <c r="U100" s="1" t="str">
        <f t="shared" si="6"/>
        <v xml:space="preserve">Florida </v>
      </c>
      <c r="V100" s="1" t="str">
        <f t="shared" si="7"/>
        <v>33010</v>
      </c>
    </row>
    <row r="101" spans="1:22" ht="20.100000000000001" customHeight="1" x14ac:dyDescent="0.2">
      <c r="A101" s="1" t="s">
        <v>120</v>
      </c>
      <c r="B101" s="1">
        <v>145629</v>
      </c>
      <c r="C101" s="1">
        <v>154</v>
      </c>
      <c r="T101" s="1" t="str">
        <f t="shared" si="5"/>
        <v>Hollywood</v>
      </c>
      <c r="U101" s="1" t="str">
        <f t="shared" si="6"/>
        <v xml:space="preserve">Florida </v>
      </c>
      <c r="V101" s="1" t="str">
        <f t="shared" si="7"/>
        <v>33022</v>
      </c>
    </row>
    <row r="102" spans="1:22" ht="20.100000000000001" customHeight="1" x14ac:dyDescent="0.2">
      <c r="A102" s="1" t="s">
        <v>121</v>
      </c>
      <c r="B102" s="1">
        <v>782623</v>
      </c>
      <c r="C102" s="1">
        <v>13</v>
      </c>
      <c r="T102" s="1" t="str">
        <f t="shared" si="5"/>
        <v>Jacksonville</v>
      </c>
      <c r="U102" s="1" t="str">
        <f t="shared" si="6"/>
        <v xml:space="preserve">Florida </v>
      </c>
      <c r="V102" s="1" t="str">
        <f t="shared" si="7"/>
        <v>32203</v>
      </c>
    </row>
    <row r="103" spans="1:22" ht="20.100000000000001" customHeight="1" x14ac:dyDescent="0.2">
      <c r="A103" s="1" t="s">
        <v>122</v>
      </c>
      <c r="B103" s="1">
        <v>386417</v>
      </c>
      <c r="C103" s="1">
        <v>45</v>
      </c>
      <c r="T103" s="1" t="str">
        <f t="shared" si="5"/>
        <v>Miami</v>
      </c>
      <c r="U103" s="1" t="str">
        <f t="shared" si="6"/>
        <v xml:space="preserve">Florida </v>
      </c>
      <c r="V103" s="1" t="str">
        <f t="shared" si="7"/>
        <v>33152</v>
      </c>
    </row>
    <row r="104" spans="1:22" ht="20.100000000000001" customHeight="1" x14ac:dyDescent="0.2">
      <c r="A104" s="1" t="s">
        <v>123</v>
      </c>
      <c r="B104" s="1">
        <v>106623</v>
      </c>
      <c r="C104" s="1">
        <v>227</v>
      </c>
      <c r="T104" s="1" t="str">
        <f t="shared" si="5"/>
        <v>Miramar</v>
      </c>
      <c r="U104" s="1" t="str">
        <f t="shared" si="6"/>
        <v xml:space="preserve">Florida </v>
      </c>
      <c r="V104" s="1" t="str">
        <f t="shared" si="7"/>
        <v>33023</v>
      </c>
    </row>
    <row r="105" spans="1:22" ht="20.100000000000001" customHeight="1" x14ac:dyDescent="0.2">
      <c r="A105" s="1" t="s">
        <v>124</v>
      </c>
      <c r="B105" s="1">
        <v>213223</v>
      </c>
      <c r="C105" s="1">
        <v>87</v>
      </c>
      <c r="T105" s="1" t="str">
        <f t="shared" si="5"/>
        <v>Orlando</v>
      </c>
      <c r="U105" s="1" t="str">
        <f t="shared" si="6"/>
        <v xml:space="preserve">Florida </v>
      </c>
      <c r="V105" s="1" t="str">
        <f t="shared" si="7"/>
        <v>32802</v>
      </c>
    </row>
    <row r="106" spans="1:22" ht="20.100000000000001" customHeight="1" x14ac:dyDescent="0.2">
      <c r="A106" s="1" t="s">
        <v>125</v>
      </c>
      <c r="B106" s="1">
        <v>150380</v>
      </c>
      <c r="C106" s="1">
        <v>148</v>
      </c>
      <c r="T106" s="1" t="str">
        <f t="shared" si="5"/>
        <v>Pembroke Pines</v>
      </c>
      <c r="U106" s="1" t="str">
        <f t="shared" si="6"/>
        <v xml:space="preserve">Florida </v>
      </c>
      <c r="V106" s="1" t="str">
        <f t="shared" si="7"/>
        <v>33024</v>
      </c>
    </row>
    <row r="107" spans="1:22" ht="20.100000000000001" customHeight="1" x14ac:dyDescent="0.2">
      <c r="A107" s="1" t="s">
        <v>126</v>
      </c>
      <c r="B107" s="1">
        <v>104179</v>
      </c>
      <c r="C107" s="1">
        <v>236</v>
      </c>
      <c r="T107" s="1" t="str">
        <f t="shared" si="5"/>
        <v>Pompano Beach</v>
      </c>
      <c r="U107" s="1" t="str">
        <f t="shared" si="6"/>
        <v xml:space="preserve">Florida </v>
      </c>
      <c r="V107" s="1" t="str">
        <f t="shared" si="7"/>
        <v>33060</v>
      </c>
    </row>
    <row r="108" spans="1:22" ht="20.100000000000001" customHeight="1" x14ac:dyDescent="0.2">
      <c r="A108" s="1" t="s">
        <v>127</v>
      </c>
      <c r="B108" s="1">
        <v>131692</v>
      </c>
      <c r="C108" s="1">
        <v>178</v>
      </c>
      <c r="T108" s="1" t="str">
        <f t="shared" si="5"/>
        <v>Port St. Lucie</v>
      </c>
      <c r="U108" s="1" t="str">
        <f t="shared" si="6"/>
        <v xml:space="preserve">Florida </v>
      </c>
      <c r="V108" s="1" t="str">
        <f t="shared" si="7"/>
        <v>34952</v>
      </c>
    </row>
    <row r="109" spans="1:22" ht="20.100000000000001" customHeight="1" x14ac:dyDescent="0.2">
      <c r="A109" s="1" t="s">
        <v>128</v>
      </c>
      <c r="B109" s="1">
        <v>249079</v>
      </c>
      <c r="C109" s="1">
        <v>71</v>
      </c>
      <c r="T109" s="1" t="str">
        <f t="shared" si="5"/>
        <v>St. Petersburg</v>
      </c>
      <c r="U109" s="1" t="str">
        <f t="shared" si="6"/>
        <v xml:space="preserve">Florida </v>
      </c>
      <c r="V109" s="1" t="str">
        <f t="shared" si="7"/>
        <v>33730</v>
      </c>
    </row>
    <row r="110" spans="1:22" ht="20.100000000000001" customHeight="1" x14ac:dyDescent="0.2">
      <c r="A110" s="1" t="s">
        <v>129</v>
      </c>
      <c r="B110" s="1">
        <v>158500</v>
      </c>
      <c r="C110" s="1">
        <v>141</v>
      </c>
      <c r="T110" s="1" t="str">
        <f t="shared" si="5"/>
        <v>Tallahassee</v>
      </c>
      <c r="U110" s="1" t="str">
        <f t="shared" si="6"/>
        <v xml:space="preserve">Florida </v>
      </c>
      <c r="V110" s="1" t="str">
        <f t="shared" si="7"/>
        <v>32301</v>
      </c>
    </row>
    <row r="111" spans="1:22" ht="20.100000000000001" customHeight="1" x14ac:dyDescent="0.2">
      <c r="A111" s="1" t="s">
        <v>130</v>
      </c>
      <c r="B111" s="1">
        <v>325989</v>
      </c>
      <c r="C111" s="1">
        <v>56</v>
      </c>
      <c r="T111" s="1" t="str">
        <f t="shared" si="5"/>
        <v>Tampa</v>
      </c>
      <c r="U111" s="1" t="str">
        <f t="shared" si="6"/>
        <v xml:space="preserve">Florida </v>
      </c>
      <c r="V111" s="1" t="str">
        <f t="shared" si="7"/>
        <v>33630</v>
      </c>
    </row>
    <row r="112" spans="1:22" ht="20.100000000000001" customHeight="1" x14ac:dyDescent="0.2">
      <c r="A112" s="1" t="s">
        <v>131</v>
      </c>
      <c r="B112" s="1">
        <v>103238</v>
      </c>
      <c r="C112" s="1">
        <v>242</v>
      </c>
      <c r="T112" s="1" t="str">
        <f t="shared" si="5"/>
        <v>Athens</v>
      </c>
      <c r="U112" s="1" t="str">
        <f t="shared" si="6"/>
        <v xml:space="preserve">Georgia </v>
      </c>
      <c r="V112" s="1" t="str">
        <f t="shared" si="7"/>
        <v>30608</v>
      </c>
    </row>
    <row r="113" spans="1:22" ht="20.100000000000001" customHeight="1" x14ac:dyDescent="0.2">
      <c r="A113" s="1" t="s">
        <v>132</v>
      </c>
      <c r="B113" s="1">
        <v>470688</v>
      </c>
      <c r="C113" s="1">
        <v>35</v>
      </c>
      <c r="T113" s="1" t="str">
        <f t="shared" si="5"/>
        <v>Atlanta</v>
      </c>
      <c r="U113" s="1" t="str">
        <f t="shared" si="6"/>
        <v xml:space="preserve">Georgia </v>
      </c>
      <c r="V113" s="1" t="str">
        <f t="shared" si="7"/>
        <v>30304</v>
      </c>
    </row>
    <row r="114" spans="1:22" ht="20.100000000000001" customHeight="1" x14ac:dyDescent="0.2">
      <c r="A114" s="1" t="s">
        <v>133</v>
      </c>
      <c r="B114" s="1">
        <v>190782</v>
      </c>
      <c r="C114" s="1">
        <v>113</v>
      </c>
      <c r="T114" s="1" t="str">
        <f t="shared" si="5"/>
        <v>Augusta</v>
      </c>
      <c r="U114" s="1" t="str">
        <f t="shared" si="6"/>
        <v xml:space="preserve">Georgia </v>
      </c>
      <c r="V114" s="1" t="str">
        <f t="shared" si="7"/>
        <v>30901</v>
      </c>
    </row>
    <row r="115" spans="1:22" ht="20.100000000000001" customHeight="1" x14ac:dyDescent="0.2">
      <c r="A115" s="1" t="s">
        <v>134</v>
      </c>
      <c r="B115" s="1">
        <v>185271</v>
      </c>
      <c r="C115" s="1">
        <v>115</v>
      </c>
      <c r="T115" s="1" t="str">
        <f t="shared" si="5"/>
        <v>Columbus</v>
      </c>
      <c r="U115" s="1" t="str">
        <f t="shared" si="6"/>
        <v xml:space="preserve">Georgia </v>
      </c>
      <c r="V115" s="1" t="str">
        <f t="shared" si="7"/>
        <v>31908</v>
      </c>
    </row>
    <row r="116" spans="1:22" ht="20.100000000000001" customHeight="1" x14ac:dyDescent="0.2">
      <c r="A116" s="1" t="s">
        <v>135</v>
      </c>
      <c r="B116" s="1">
        <v>128453</v>
      </c>
      <c r="C116" s="1">
        <v>183</v>
      </c>
      <c r="T116" s="1" t="str">
        <f t="shared" si="5"/>
        <v>Savannah</v>
      </c>
      <c r="U116" s="1" t="str">
        <f t="shared" si="6"/>
        <v xml:space="preserve">Georgia </v>
      </c>
      <c r="V116" s="1" t="str">
        <f t="shared" si="7"/>
        <v>31402</v>
      </c>
    </row>
    <row r="117" spans="1:22" ht="20.100000000000001" customHeight="1" x14ac:dyDescent="0.2">
      <c r="A117" s="1" t="s">
        <v>136</v>
      </c>
      <c r="B117" s="1">
        <v>377379</v>
      </c>
      <c r="C117" s="1">
        <v>47</v>
      </c>
      <c r="T117" s="1" t="str">
        <f t="shared" si="5"/>
        <v>Honolulu</v>
      </c>
      <c r="U117" s="1" t="str">
        <f t="shared" si="6"/>
        <v xml:space="preserve">Hawaii </v>
      </c>
      <c r="V117" s="1" t="str">
        <f t="shared" si="7"/>
        <v>96820</v>
      </c>
    </row>
    <row r="118" spans="1:22" ht="20.100000000000001" customHeight="1" x14ac:dyDescent="0.2">
      <c r="A118" s="1" t="s">
        <v>137</v>
      </c>
      <c r="B118" s="1">
        <v>193161</v>
      </c>
      <c r="C118" s="1">
        <v>111</v>
      </c>
      <c r="T118" s="1" t="str">
        <f t="shared" si="5"/>
        <v>Boise</v>
      </c>
      <c r="U118" s="1" t="str">
        <f t="shared" si="6"/>
        <v xml:space="preserve">Idaho </v>
      </c>
      <c r="V118" s="1" t="str">
        <f t="shared" si="7"/>
        <v>83708</v>
      </c>
    </row>
    <row r="119" spans="1:22" ht="20.100000000000001" customHeight="1" x14ac:dyDescent="0.2">
      <c r="A119" s="1" t="s">
        <v>138</v>
      </c>
      <c r="B119" s="1">
        <v>168181</v>
      </c>
      <c r="C119" s="1">
        <v>131</v>
      </c>
      <c r="T119" s="1" t="str">
        <f t="shared" si="5"/>
        <v>Aurora</v>
      </c>
      <c r="U119" s="1" t="str">
        <f t="shared" si="6"/>
        <v xml:space="preserve">Illinois </v>
      </c>
      <c r="V119" s="1" t="str">
        <f t="shared" si="7"/>
        <v>60505</v>
      </c>
    </row>
    <row r="120" spans="1:22" ht="20.100000000000001" customHeight="1" x14ac:dyDescent="0.2">
      <c r="A120" s="1" t="s">
        <v>139</v>
      </c>
      <c r="B120" s="1">
        <v>2842518</v>
      </c>
      <c r="C120" s="1">
        <v>3</v>
      </c>
      <c r="T120" s="1" t="str">
        <f t="shared" si="5"/>
        <v>Chicago</v>
      </c>
      <c r="U120" s="1" t="str">
        <f t="shared" si="6"/>
        <v xml:space="preserve">Illinois </v>
      </c>
      <c r="V120" s="1" t="str">
        <f t="shared" si="7"/>
        <v>60607</v>
      </c>
    </row>
    <row r="121" spans="1:22" ht="20.100000000000001" customHeight="1" x14ac:dyDescent="0.2">
      <c r="A121" s="1" t="s">
        <v>140</v>
      </c>
      <c r="B121" s="1">
        <v>136208</v>
      </c>
      <c r="C121" s="1">
        <v>170</v>
      </c>
      <c r="T121" s="1" t="str">
        <f t="shared" si="5"/>
        <v>Joliet</v>
      </c>
      <c r="U121" s="1" t="str">
        <f t="shared" si="6"/>
        <v xml:space="preserve">Illinois </v>
      </c>
      <c r="V121" s="1" t="str">
        <f t="shared" si="7"/>
        <v>60436</v>
      </c>
    </row>
    <row r="122" spans="1:22" ht="20.100000000000001" customHeight="1" x14ac:dyDescent="0.2">
      <c r="A122" s="1" t="s">
        <v>141</v>
      </c>
      <c r="B122" s="1">
        <v>141579</v>
      </c>
      <c r="C122" s="1">
        <v>163</v>
      </c>
      <c r="T122" s="1" t="str">
        <f t="shared" si="5"/>
        <v>Naperville</v>
      </c>
      <c r="U122" s="1" t="str">
        <f t="shared" si="6"/>
        <v xml:space="preserve">Illinois </v>
      </c>
      <c r="V122" s="1" t="str">
        <f t="shared" si="7"/>
        <v>60540</v>
      </c>
    </row>
    <row r="123" spans="1:22" ht="20.100000000000001" customHeight="1" x14ac:dyDescent="0.2">
      <c r="A123" s="1" t="s">
        <v>142</v>
      </c>
      <c r="B123" s="1">
        <v>112685</v>
      </c>
      <c r="C123" s="1">
        <v>211</v>
      </c>
      <c r="T123" s="1" t="str">
        <f t="shared" si="5"/>
        <v>Peoria</v>
      </c>
      <c r="U123" s="1" t="str">
        <f t="shared" si="6"/>
        <v xml:space="preserve">Illinois </v>
      </c>
      <c r="V123" s="1" t="str">
        <f t="shared" si="7"/>
        <v>61601</v>
      </c>
    </row>
    <row r="124" spans="1:22" ht="20.100000000000001" customHeight="1" x14ac:dyDescent="0.2">
      <c r="A124" s="1" t="s">
        <v>143</v>
      </c>
      <c r="B124" s="1">
        <v>152916</v>
      </c>
      <c r="C124" s="1">
        <v>146</v>
      </c>
      <c r="T124" s="1" t="str">
        <f t="shared" si="5"/>
        <v>Rockford</v>
      </c>
      <c r="U124" s="1" t="str">
        <f t="shared" si="6"/>
        <v xml:space="preserve">Illinois </v>
      </c>
      <c r="V124" s="1" t="str">
        <f t="shared" si="7"/>
        <v>61125</v>
      </c>
    </row>
    <row r="125" spans="1:22" ht="20.100000000000001" customHeight="1" x14ac:dyDescent="0.2">
      <c r="A125" s="1" t="s">
        <v>144</v>
      </c>
      <c r="B125" s="1">
        <v>115668</v>
      </c>
      <c r="C125" s="1">
        <v>204</v>
      </c>
      <c r="T125" s="1" t="str">
        <f t="shared" si="5"/>
        <v>Springfield</v>
      </c>
      <c r="U125" s="1" t="str">
        <f t="shared" si="6"/>
        <v xml:space="preserve">Illinois </v>
      </c>
      <c r="V125" s="1" t="str">
        <f t="shared" si="7"/>
        <v>62703</v>
      </c>
    </row>
    <row r="126" spans="1:22" ht="20.100000000000001" customHeight="1" x14ac:dyDescent="0.2">
      <c r="A126" s="1" t="s">
        <v>145</v>
      </c>
      <c r="B126" s="1">
        <v>115918</v>
      </c>
      <c r="C126" s="1">
        <v>203</v>
      </c>
      <c r="T126" s="1" t="str">
        <f t="shared" si="5"/>
        <v>Evansville</v>
      </c>
      <c r="U126" s="1" t="str">
        <f t="shared" si="6"/>
        <v xml:space="preserve">Indiana </v>
      </c>
      <c r="V126" s="1" t="str">
        <f t="shared" si="7"/>
        <v>47708</v>
      </c>
    </row>
    <row r="127" spans="1:22" ht="20.100000000000001" customHeight="1" x14ac:dyDescent="0.2">
      <c r="A127" s="1" t="s">
        <v>146</v>
      </c>
      <c r="B127" s="1">
        <v>223341</v>
      </c>
      <c r="C127" s="1">
        <v>81</v>
      </c>
      <c r="T127" s="1" t="str">
        <f t="shared" si="5"/>
        <v>Fort Wayne</v>
      </c>
      <c r="U127" s="1" t="str">
        <f t="shared" si="6"/>
        <v xml:space="preserve">Indiana </v>
      </c>
      <c r="V127" s="1" t="str">
        <f t="shared" si="7"/>
        <v>46802</v>
      </c>
    </row>
    <row r="128" spans="1:22" ht="20.100000000000001" customHeight="1" x14ac:dyDescent="0.2">
      <c r="A128" s="1" t="s">
        <v>147</v>
      </c>
      <c r="B128" s="1">
        <v>784118</v>
      </c>
      <c r="C128" s="1">
        <v>12</v>
      </c>
      <c r="T128" s="1" t="str">
        <f t="shared" si="5"/>
        <v>Indianapolis</v>
      </c>
      <c r="U128" s="1" t="str">
        <f t="shared" si="6"/>
        <v xml:space="preserve">Indiana </v>
      </c>
      <c r="V128" s="1" t="str">
        <f t="shared" si="7"/>
        <v>46206</v>
      </c>
    </row>
    <row r="129" spans="1:22" ht="20.100000000000001" customHeight="1" x14ac:dyDescent="0.2">
      <c r="A129" s="1" t="s">
        <v>148</v>
      </c>
      <c r="B129" s="1">
        <v>105262</v>
      </c>
      <c r="C129" s="1">
        <v>232</v>
      </c>
      <c r="T129" s="1" t="str">
        <f t="shared" si="5"/>
        <v>South Bend</v>
      </c>
      <c r="U129" s="1" t="str">
        <f t="shared" si="6"/>
        <v xml:space="preserve">Indiana </v>
      </c>
      <c r="V129" s="1" t="str">
        <f t="shared" si="7"/>
        <v>46624</v>
      </c>
    </row>
    <row r="130" spans="1:22" ht="20.100000000000001" customHeight="1" x14ac:dyDescent="0.2">
      <c r="A130" s="1" t="s">
        <v>149</v>
      </c>
      <c r="B130" s="1">
        <v>123119</v>
      </c>
      <c r="C130" s="1">
        <v>192</v>
      </c>
      <c r="T130" s="1" t="str">
        <f t="shared" si="5"/>
        <v>Cedar Rapids</v>
      </c>
      <c r="U130" s="1" t="str">
        <f t="shared" si="6"/>
        <v xml:space="preserve">Iowa </v>
      </c>
      <c r="V130" s="1" t="str">
        <f t="shared" si="7"/>
        <v>52401</v>
      </c>
    </row>
    <row r="131" spans="1:22" ht="20.100000000000001" customHeight="1" x14ac:dyDescent="0.2">
      <c r="A131" s="1" t="s">
        <v>150</v>
      </c>
      <c r="B131" s="1">
        <v>194163</v>
      </c>
      <c r="C131" s="1">
        <v>106</v>
      </c>
      <c r="T131" s="1" t="str">
        <f t="shared" si="5"/>
        <v>Des Moines</v>
      </c>
      <c r="U131" s="1" t="str">
        <f t="shared" si="6"/>
        <v xml:space="preserve">Iowa </v>
      </c>
      <c r="V131" s="1" t="str">
        <f t="shared" si="7"/>
        <v>50318</v>
      </c>
    </row>
    <row r="132" spans="1:22" ht="20.100000000000001" customHeight="1" x14ac:dyDescent="0.2">
      <c r="A132" s="1" t="s">
        <v>151</v>
      </c>
      <c r="B132" s="1">
        <v>144210</v>
      </c>
      <c r="C132" s="1">
        <v>158</v>
      </c>
      <c r="T132" s="1" t="str">
        <f t="shared" ref="T132:T195" si="8">LEFT(A132,FIND(",",A132)-1)</f>
        <v>Kansas City</v>
      </c>
      <c r="U132" s="1" t="str">
        <f t="shared" ref="U132:U195" si="9">MID(A132,FIND(",",A132)+2,LEN(A132)-FIND(",",A132)-7)</f>
        <v xml:space="preserve">Kansas </v>
      </c>
      <c r="V132" s="1" t="str">
        <f t="shared" ref="V132:V195" si="10">RIGHT(A132,5)</f>
        <v>66106</v>
      </c>
    </row>
    <row r="133" spans="1:22" ht="20.100000000000001" customHeight="1" x14ac:dyDescent="0.2">
      <c r="A133" s="1" t="s">
        <v>152</v>
      </c>
      <c r="B133" s="1">
        <v>111334</v>
      </c>
      <c r="C133" s="1">
        <v>215</v>
      </c>
      <c r="T133" s="1" t="str">
        <f t="shared" si="8"/>
        <v>Olathe</v>
      </c>
      <c r="U133" s="1" t="str">
        <f t="shared" si="9"/>
        <v xml:space="preserve">Kansas </v>
      </c>
      <c r="V133" s="1" t="str">
        <f t="shared" si="10"/>
        <v>66051</v>
      </c>
    </row>
    <row r="134" spans="1:22" ht="20.100000000000001" customHeight="1" x14ac:dyDescent="0.2">
      <c r="A134" s="1" t="s">
        <v>153</v>
      </c>
      <c r="B134" s="1">
        <v>164811</v>
      </c>
      <c r="C134" s="1">
        <v>137</v>
      </c>
      <c r="T134" s="1" t="str">
        <f t="shared" si="8"/>
        <v>Overland Park</v>
      </c>
      <c r="U134" s="1" t="str">
        <f t="shared" si="9"/>
        <v xml:space="preserve">Kansas </v>
      </c>
      <c r="V134" s="1" t="str">
        <f t="shared" si="10"/>
        <v>66204</v>
      </c>
    </row>
    <row r="135" spans="1:22" ht="20.100000000000001" customHeight="1" x14ac:dyDescent="0.2">
      <c r="A135" s="1" t="s">
        <v>154</v>
      </c>
      <c r="B135" s="1">
        <v>121946</v>
      </c>
      <c r="C135" s="1">
        <v>194</v>
      </c>
      <c r="T135" s="1" t="str">
        <f t="shared" si="8"/>
        <v>Topeka</v>
      </c>
      <c r="U135" s="1" t="str">
        <f t="shared" si="9"/>
        <v xml:space="preserve">Kansas </v>
      </c>
      <c r="V135" s="1" t="str">
        <f t="shared" si="10"/>
        <v>66603</v>
      </c>
    </row>
    <row r="136" spans="1:22" ht="20.100000000000001" customHeight="1" x14ac:dyDescent="0.2">
      <c r="A136" s="1" t="s">
        <v>155</v>
      </c>
      <c r="B136" s="1">
        <v>354865</v>
      </c>
      <c r="C136" s="1">
        <v>51</v>
      </c>
      <c r="T136" s="1" t="str">
        <f t="shared" si="8"/>
        <v>Wichita</v>
      </c>
      <c r="U136" s="1" t="str">
        <f t="shared" si="9"/>
        <v xml:space="preserve">Kansas </v>
      </c>
      <c r="V136" s="1" t="str">
        <f t="shared" si="10"/>
        <v>67276</v>
      </c>
    </row>
    <row r="137" spans="1:22" ht="20.100000000000001" customHeight="1" x14ac:dyDescent="0.2">
      <c r="A137" s="1" t="s">
        <v>156</v>
      </c>
      <c r="B137" s="1">
        <v>268080</v>
      </c>
      <c r="C137" s="1">
        <v>69</v>
      </c>
      <c r="T137" s="1" t="str">
        <f t="shared" si="8"/>
        <v>Lexington</v>
      </c>
      <c r="U137" s="1" t="str">
        <f t="shared" si="9"/>
        <v xml:space="preserve">Kentucky </v>
      </c>
      <c r="V137" s="1" t="str">
        <f t="shared" si="10"/>
        <v>40511</v>
      </c>
    </row>
    <row r="138" spans="1:22" ht="20.100000000000001" customHeight="1" x14ac:dyDescent="0.2">
      <c r="A138" s="1" t="s">
        <v>157</v>
      </c>
      <c r="B138" s="1">
        <v>556429</v>
      </c>
      <c r="C138" s="1">
        <v>26</v>
      </c>
      <c r="T138" s="1" t="str">
        <f t="shared" si="8"/>
        <v>Louisville</v>
      </c>
      <c r="U138" s="1" t="str">
        <f t="shared" si="9"/>
        <v xml:space="preserve">Kentucky </v>
      </c>
      <c r="V138" s="1" t="str">
        <f t="shared" si="10"/>
        <v>40231</v>
      </c>
    </row>
    <row r="139" spans="1:22" ht="20.100000000000001" customHeight="1" x14ac:dyDescent="0.2">
      <c r="A139" s="1" t="s">
        <v>158</v>
      </c>
      <c r="B139" s="1">
        <v>222064</v>
      </c>
      <c r="C139" s="1">
        <v>82</v>
      </c>
      <c r="T139" s="1" t="str">
        <f t="shared" si="8"/>
        <v>Baton Rouge</v>
      </c>
      <c r="U139" s="1" t="str">
        <f t="shared" si="9"/>
        <v xml:space="preserve">Louisiana </v>
      </c>
      <c r="V139" s="1" t="str">
        <f t="shared" si="10"/>
        <v>70826</v>
      </c>
    </row>
    <row r="140" spans="1:22" ht="20.100000000000001" customHeight="1" x14ac:dyDescent="0.2">
      <c r="A140" s="1" t="s">
        <v>159</v>
      </c>
      <c r="B140" s="1">
        <v>112030</v>
      </c>
      <c r="C140" s="1">
        <v>213</v>
      </c>
      <c r="T140" s="1" t="str">
        <f t="shared" si="8"/>
        <v>Lafayette</v>
      </c>
      <c r="U140" s="1" t="str">
        <f t="shared" si="9"/>
        <v xml:space="preserve">Louisiana </v>
      </c>
      <c r="V140" s="1" t="str">
        <f t="shared" si="10"/>
        <v>70509</v>
      </c>
    </row>
    <row r="141" spans="1:22" ht="20.100000000000001" customHeight="1" x14ac:dyDescent="0.2">
      <c r="A141" s="1" t="s">
        <v>160</v>
      </c>
      <c r="B141" s="1">
        <v>454863</v>
      </c>
      <c r="C141" s="1">
        <v>38</v>
      </c>
      <c r="T141" s="1" t="str">
        <f t="shared" si="8"/>
        <v>New Orleans</v>
      </c>
      <c r="U141" s="1" t="str">
        <f t="shared" si="9"/>
        <v xml:space="preserve">Louisiana </v>
      </c>
      <c r="V141" s="1" t="str">
        <f t="shared" si="10"/>
        <v>70113</v>
      </c>
    </row>
    <row r="142" spans="1:22" ht="20.100000000000001" customHeight="1" x14ac:dyDescent="0.2">
      <c r="A142" s="1" t="s">
        <v>161</v>
      </c>
      <c r="B142" s="1">
        <v>198874</v>
      </c>
      <c r="C142" s="1">
        <v>99</v>
      </c>
      <c r="T142" s="1" t="str">
        <f t="shared" si="8"/>
        <v>Shreveport</v>
      </c>
      <c r="U142" s="1" t="str">
        <f t="shared" si="9"/>
        <v xml:space="preserve">Louisiana </v>
      </c>
      <c r="V142" s="1" t="str">
        <f t="shared" si="10"/>
        <v>71102</v>
      </c>
    </row>
    <row r="143" spans="1:22" ht="20.100000000000001" customHeight="1" x14ac:dyDescent="0.2">
      <c r="A143" s="1" t="s">
        <v>162</v>
      </c>
      <c r="B143" s="1">
        <v>635815</v>
      </c>
      <c r="C143" s="1">
        <v>18</v>
      </c>
      <c r="T143" s="1" t="str">
        <f t="shared" si="8"/>
        <v>Baltimore</v>
      </c>
      <c r="U143" s="1" t="str">
        <f t="shared" si="9"/>
        <v xml:space="preserve">Maryland </v>
      </c>
      <c r="V143" s="1" t="str">
        <f t="shared" si="10"/>
        <v>21202</v>
      </c>
    </row>
    <row r="144" spans="1:22" ht="20.100000000000001" customHeight="1" x14ac:dyDescent="0.2">
      <c r="A144" s="1" t="s">
        <v>163</v>
      </c>
      <c r="B144" s="1">
        <v>559034</v>
      </c>
      <c r="C144" s="1">
        <v>24</v>
      </c>
      <c r="T144" s="1" t="str">
        <f t="shared" si="8"/>
        <v>Boston</v>
      </c>
      <c r="U144" s="1" t="str">
        <f t="shared" si="9"/>
        <v xml:space="preserve">Massachusetts </v>
      </c>
      <c r="V144" s="1" t="str">
        <f t="shared" si="10"/>
        <v>02205</v>
      </c>
    </row>
    <row r="145" spans="1:22" ht="20.100000000000001" customHeight="1" x14ac:dyDescent="0.2">
      <c r="A145" s="1" t="s">
        <v>164</v>
      </c>
      <c r="B145" s="1">
        <v>100135</v>
      </c>
      <c r="C145" s="1">
        <v>253</v>
      </c>
      <c r="T145" s="1" t="str">
        <f t="shared" si="8"/>
        <v>Cambridge</v>
      </c>
      <c r="U145" s="1" t="str">
        <f t="shared" si="9"/>
        <v xml:space="preserve">Massachusetts </v>
      </c>
      <c r="V145" s="1" t="str">
        <f t="shared" si="10"/>
        <v>02139</v>
      </c>
    </row>
    <row r="146" spans="1:22" ht="20.100000000000001" customHeight="1" x14ac:dyDescent="0.2">
      <c r="A146" s="1" t="s">
        <v>165</v>
      </c>
      <c r="B146" s="1">
        <v>103111</v>
      </c>
      <c r="C146" s="1">
        <v>243</v>
      </c>
      <c r="T146" s="1" t="str">
        <f t="shared" si="8"/>
        <v>Lowell</v>
      </c>
      <c r="U146" s="1" t="str">
        <f t="shared" si="9"/>
        <v xml:space="preserve">Massachusetts </v>
      </c>
      <c r="V146" s="1" t="str">
        <f t="shared" si="10"/>
        <v>01853</v>
      </c>
    </row>
    <row r="147" spans="1:22" ht="20.100000000000001" customHeight="1" x14ac:dyDescent="0.2">
      <c r="A147" s="1" t="s">
        <v>166</v>
      </c>
      <c r="B147" s="1">
        <v>151732</v>
      </c>
      <c r="C147" s="1">
        <v>147</v>
      </c>
      <c r="T147" s="1" t="str">
        <f t="shared" si="8"/>
        <v>Springfield</v>
      </c>
      <c r="U147" s="1" t="str">
        <f t="shared" si="9"/>
        <v xml:space="preserve">Massachusetts </v>
      </c>
      <c r="V147" s="1" t="str">
        <f t="shared" si="10"/>
        <v>01101</v>
      </c>
    </row>
    <row r="148" spans="1:22" ht="20.100000000000001" customHeight="1" x14ac:dyDescent="0.2">
      <c r="A148" s="1" t="s">
        <v>167</v>
      </c>
      <c r="B148" s="1">
        <v>175898</v>
      </c>
      <c r="C148" s="1">
        <v>126</v>
      </c>
      <c r="T148" s="1" t="str">
        <f t="shared" si="8"/>
        <v>Worcester</v>
      </c>
      <c r="U148" s="1" t="str">
        <f t="shared" si="9"/>
        <v xml:space="preserve">Massachusetts </v>
      </c>
      <c r="V148" s="1" t="str">
        <f t="shared" si="10"/>
        <v>01613</v>
      </c>
    </row>
    <row r="149" spans="1:22" ht="20.100000000000001" customHeight="1" x14ac:dyDescent="0.2">
      <c r="A149" s="1" t="s">
        <v>168</v>
      </c>
      <c r="B149" s="1">
        <v>113271</v>
      </c>
      <c r="C149" s="1">
        <v>209</v>
      </c>
      <c r="T149" s="1" t="str">
        <f t="shared" si="8"/>
        <v>Ann Arbor</v>
      </c>
      <c r="U149" s="1" t="str">
        <f t="shared" si="9"/>
        <v xml:space="preserve">Michigan </v>
      </c>
      <c r="V149" s="1" t="str">
        <f t="shared" si="10"/>
        <v>48104</v>
      </c>
    </row>
    <row r="150" spans="1:22" ht="20.100000000000001" customHeight="1" x14ac:dyDescent="0.2">
      <c r="A150" s="1" t="s">
        <v>169</v>
      </c>
      <c r="B150" s="1">
        <v>886671</v>
      </c>
      <c r="C150" s="1">
        <v>11</v>
      </c>
      <c r="T150" s="1" t="str">
        <f t="shared" si="8"/>
        <v>Detroit</v>
      </c>
      <c r="U150" s="1" t="str">
        <f t="shared" si="9"/>
        <v xml:space="preserve">Michigan </v>
      </c>
      <c r="V150" s="1" t="str">
        <f t="shared" si="10"/>
        <v>48233</v>
      </c>
    </row>
    <row r="151" spans="1:22" ht="20.100000000000001" customHeight="1" x14ac:dyDescent="0.2">
      <c r="A151" s="1" t="s">
        <v>170</v>
      </c>
      <c r="B151" s="1">
        <v>118551</v>
      </c>
      <c r="C151" s="1">
        <v>199</v>
      </c>
      <c r="T151" s="1" t="str">
        <f t="shared" si="8"/>
        <v>Flint</v>
      </c>
      <c r="U151" s="1" t="str">
        <f t="shared" si="9"/>
        <v xml:space="preserve">Michigan </v>
      </c>
      <c r="V151" s="1" t="str">
        <f t="shared" si="10"/>
        <v>48502</v>
      </c>
    </row>
    <row r="152" spans="1:22" ht="20.100000000000001" customHeight="1" x14ac:dyDescent="0.2">
      <c r="A152" s="1" t="s">
        <v>171</v>
      </c>
      <c r="B152" s="1">
        <v>193780</v>
      </c>
      <c r="C152" s="1">
        <v>107</v>
      </c>
      <c r="T152" s="1" t="str">
        <f t="shared" si="8"/>
        <v>Grand Rapids</v>
      </c>
      <c r="U152" s="1" t="str">
        <f t="shared" si="9"/>
        <v xml:space="preserve">Michigan </v>
      </c>
      <c r="V152" s="1" t="str">
        <f t="shared" si="10"/>
        <v>49501</v>
      </c>
    </row>
    <row r="153" spans="1:22" ht="20.100000000000001" customHeight="1" x14ac:dyDescent="0.2">
      <c r="A153" s="1" t="s">
        <v>172</v>
      </c>
      <c r="B153" s="1">
        <v>115518</v>
      </c>
      <c r="C153" s="1">
        <v>205</v>
      </c>
      <c r="T153" s="1" t="str">
        <f t="shared" si="8"/>
        <v>Lansing</v>
      </c>
      <c r="U153" s="1" t="str">
        <f t="shared" si="9"/>
        <v xml:space="preserve">Michigan </v>
      </c>
      <c r="V153" s="1" t="str">
        <f t="shared" si="10"/>
        <v>48924</v>
      </c>
    </row>
    <row r="154" spans="1:22" ht="20.100000000000001" customHeight="1" x14ac:dyDescent="0.2">
      <c r="A154" s="1" t="s">
        <v>173</v>
      </c>
      <c r="B154" s="1">
        <v>128034</v>
      </c>
      <c r="C154" s="1">
        <v>184</v>
      </c>
      <c r="T154" s="1" t="str">
        <f t="shared" si="8"/>
        <v>Sterling Heights</v>
      </c>
      <c r="U154" s="1" t="str">
        <f t="shared" si="9"/>
        <v xml:space="preserve">Michigan </v>
      </c>
      <c r="V154" s="1" t="str">
        <f t="shared" si="10"/>
        <v>48311</v>
      </c>
    </row>
    <row r="155" spans="1:22" ht="20.100000000000001" customHeight="1" x14ac:dyDescent="0.2">
      <c r="A155" s="1" t="s">
        <v>174</v>
      </c>
      <c r="B155" s="1">
        <v>135311</v>
      </c>
      <c r="C155" s="1">
        <v>172</v>
      </c>
      <c r="T155" s="1" t="str">
        <f t="shared" si="8"/>
        <v>Warren</v>
      </c>
      <c r="U155" s="1" t="str">
        <f t="shared" si="9"/>
        <v xml:space="preserve">Michigan </v>
      </c>
      <c r="V155" s="1" t="str">
        <f t="shared" si="10"/>
        <v>48090</v>
      </c>
    </row>
    <row r="156" spans="1:22" ht="20.100000000000001" customHeight="1" x14ac:dyDescent="0.2">
      <c r="A156" s="1" t="s">
        <v>175</v>
      </c>
      <c r="B156" s="1">
        <v>372811</v>
      </c>
      <c r="C156" s="1">
        <v>48</v>
      </c>
      <c r="T156" s="1" t="str">
        <f t="shared" si="8"/>
        <v>Minneapolis</v>
      </c>
      <c r="U156" s="1" t="str">
        <f t="shared" si="9"/>
        <v xml:space="preserve">Minnesota </v>
      </c>
      <c r="V156" s="1" t="str">
        <f t="shared" si="10"/>
        <v>55401</v>
      </c>
    </row>
    <row r="157" spans="1:22" ht="20.100000000000001" customHeight="1" x14ac:dyDescent="0.2">
      <c r="A157" s="1" t="s">
        <v>176</v>
      </c>
      <c r="B157" s="1">
        <v>275150</v>
      </c>
      <c r="C157" s="1">
        <v>67</v>
      </c>
      <c r="T157" s="1" t="str">
        <f t="shared" si="8"/>
        <v>St. Paul</v>
      </c>
      <c r="U157" s="1" t="str">
        <f t="shared" si="9"/>
        <v xml:space="preserve">Minnesota </v>
      </c>
      <c r="V157" s="1" t="str">
        <f t="shared" si="10"/>
        <v>55109</v>
      </c>
    </row>
    <row r="158" spans="1:22" ht="20.100000000000001" customHeight="1" x14ac:dyDescent="0.2">
      <c r="A158" s="1" t="s">
        <v>177</v>
      </c>
      <c r="B158" s="1">
        <v>177977</v>
      </c>
      <c r="C158" s="1">
        <v>123</v>
      </c>
      <c r="T158" s="1" t="str">
        <f t="shared" si="8"/>
        <v>Jackson</v>
      </c>
      <c r="U158" s="1" t="str">
        <f t="shared" si="9"/>
        <v xml:space="preserve">Mississippi </v>
      </c>
      <c r="V158" s="1" t="str">
        <f t="shared" si="10"/>
        <v>39205</v>
      </c>
    </row>
    <row r="159" spans="1:22" ht="20.100000000000001" customHeight="1" x14ac:dyDescent="0.2">
      <c r="A159" s="1" t="s">
        <v>178</v>
      </c>
      <c r="B159" s="1">
        <v>110208</v>
      </c>
      <c r="C159" s="1">
        <v>216</v>
      </c>
      <c r="T159" s="1" t="str">
        <f t="shared" si="8"/>
        <v>Independence</v>
      </c>
      <c r="U159" s="1" t="str">
        <f t="shared" si="9"/>
        <v xml:space="preserve">Missouri </v>
      </c>
      <c r="V159" s="1" t="str">
        <f t="shared" si="10"/>
        <v>64052</v>
      </c>
    </row>
    <row r="160" spans="1:22" ht="20.100000000000001" customHeight="1" x14ac:dyDescent="0.2">
      <c r="A160" s="1" t="s">
        <v>179</v>
      </c>
      <c r="B160" s="1">
        <v>444965</v>
      </c>
      <c r="C160" s="1">
        <v>40</v>
      </c>
      <c r="T160" s="1" t="str">
        <f t="shared" si="8"/>
        <v>Kansas City</v>
      </c>
      <c r="U160" s="1" t="str">
        <f t="shared" si="9"/>
        <v xml:space="preserve">Missouri </v>
      </c>
      <c r="V160" s="1" t="str">
        <f t="shared" si="10"/>
        <v>64108</v>
      </c>
    </row>
    <row r="161" spans="1:22" ht="20.100000000000001" customHeight="1" x14ac:dyDescent="0.2">
      <c r="A161" s="1" t="s">
        <v>180</v>
      </c>
      <c r="B161" s="1">
        <v>150298</v>
      </c>
      <c r="C161" s="1">
        <v>149</v>
      </c>
      <c r="T161" s="1" t="str">
        <f t="shared" si="8"/>
        <v>Springfield</v>
      </c>
      <c r="U161" s="1" t="str">
        <f t="shared" si="9"/>
        <v xml:space="preserve">Missouri </v>
      </c>
      <c r="V161" s="1" t="str">
        <f t="shared" si="10"/>
        <v>65801</v>
      </c>
    </row>
    <row r="162" spans="1:22" ht="20.100000000000001" customHeight="1" x14ac:dyDescent="0.2">
      <c r="A162" s="1" t="s">
        <v>181</v>
      </c>
      <c r="B162" s="1">
        <v>344362</v>
      </c>
      <c r="C162" s="1">
        <v>52</v>
      </c>
      <c r="T162" s="1" t="str">
        <f t="shared" si="8"/>
        <v>St. Louis</v>
      </c>
      <c r="U162" s="1" t="str">
        <f t="shared" si="9"/>
        <v xml:space="preserve">Missouri </v>
      </c>
      <c r="V162" s="1" t="str">
        <f t="shared" si="10"/>
        <v>63155</v>
      </c>
    </row>
    <row r="163" spans="1:22" ht="20.100000000000001" customHeight="1" x14ac:dyDescent="0.2">
      <c r="A163" s="1" t="s">
        <v>182</v>
      </c>
      <c r="B163" s="1">
        <v>239213</v>
      </c>
      <c r="C163" s="1">
        <v>74</v>
      </c>
      <c r="T163" s="1" t="str">
        <f t="shared" si="8"/>
        <v>Lincoln</v>
      </c>
      <c r="U163" s="1" t="str">
        <f t="shared" si="9"/>
        <v xml:space="preserve">Nebraska </v>
      </c>
      <c r="V163" s="1" t="str">
        <f t="shared" si="10"/>
        <v>68501</v>
      </c>
    </row>
    <row r="164" spans="1:22" ht="20.100000000000001" customHeight="1" x14ac:dyDescent="0.2">
      <c r="A164" s="1" t="s">
        <v>183</v>
      </c>
      <c r="B164" s="1">
        <v>414521</v>
      </c>
      <c r="C164" s="1">
        <v>43</v>
      </c>
      <c r="T164" s="1" t="str">
        <f t="shared" si="8"/>
        <v>Omaha</v>
      </c>
      <c r="U164" s="1" t="str">
        <f t="shared" si="9"/>
        <v xml:space="preserve">Nebraska </v>
      </c>
      <c r="V164" s="1" t="str">
        <f t="shared" si="10"/>
        <v>68108</v>
      </c>
    </row>
    <row r="165" spans="1:22" ht="20.100000000000001" customHeight="1" x14ac:dyDescent="0.2">
      <c r="A165" s="1" t="s">
        <v>184</v>
      </c>
      <c r="B165" s="1">
        <v>232146</v>
      </c>
      <c r="C165" s="1">
        <v>76</v>
      </c>
      <c r="T165" s="1" t="str">
        <f t="shared" si="8"/>
        <v>Henderson</v>
      </c>
      <c r="U165" s="1" t="str">
        <f t="shared" si="9"/>
        <v xml:space="preserve">Nevada </v>
      </c>
      <c r="V165" s="1" t="str">
        <f t="shared" si="10"/>
        <v>89015</v>
      </c>
    </row>
    <row r="166" spans="1:22" ht="20.100000000000001" customHeight="1" x14ac:dyDescent="0.2">
      <c r="A166" s="1" t="s">
        <v>185</v>
      </c>
      <c r="B166" s="1">
        <v>545147</v>
      </c>
      <c r="C166" s="1">
        <v>29</v>
      </c>
      <c r="T166" s="1" t="str">
        <f t="shared" si="8"/>
        <v>Las Vegas</v>
      </c>
      <c r="U166" s="1" t="str">
        <f t="shared" si="9"/>
        <v xml:space="preserve">Nevada </v>
      </c>
      <c r="V166" s="1" t="str">
        <f t="shared" si="10"/>
        <v>89199</v>
      </c>
    </row>
    <row r="167" spans="1:22" ht="20.100000000000001" customHeight="1" x14ac:dyDescent="0.2">
      <c r="A167" s="1" t="s">
        <v>186</v>
      </c>
      <c r="B167" s="1">
        <v>176635</v>
      </c>
      <c r="C167" s="1">
        <v>125</v>
      </c>
      <c r="T167" s="1" t="str">
        <f t="shared" si="8"/>
        <v>North Las Vegas</v>
      </c>
      <c r="U167" s="1" t="str">
        <f t="shared" si="9"/>
        <v xml:space="preserve">Nevada </v>
      </c>
      <c r="V167" s="1" t="str">
        <f t="shared" si="10"/>
        <v>89030</v>
      </c>
    </row>
    <row r="168" spans="1:22" ht="20.100000000000001" customHeight="1" x14ac:dyDescent="0.2">
      <c r="A168" s="1" t="s">
        <v>187</v>
      </c>
      <c r="B168" s="1">
        <v>203550</v>
      </c>
      <c r="C168" s="1">
        <v>95</v>
      </c>
      <c r="T168" s="1" t="str">
        <f t="shared" si="8"/>
        <v>Reno</v>
      </c>
      <c r="U168" s="1" t="str">
        <f t="shared" si="9"/>
        <v xml:space="preserve">Nevada </v>
      </c>
      <c r="V168" s="1" t="str">
        <f t="shared" si="10"/>
        <v>89510</v>
      </c>
    </row>
    <row r="169" spans="1:22" ht="20.100000000000001" customHeight="1" x14ac:dyDescent="0.2">
      <c r="A169" s="1" t="s">
        <v>188</v>
      </c>
      <c r="B169" s="1">
        <v>109691</v>
      </c>
      <c r="C169" s="1">
        <v>219</v>
      </c>
      <c r="T169" s="1" t="str">
        <f t="shared" si="8"/>
        <v>Manchester</v>
      </c>
      <c r="U169" s="1" t="str">
        <f t="shared" si="9"/>
        <v xml:space="preserve">New Hampshire </v>
      </c>
      <c r="V169" s="1" t="str">
        <f t="shared" si="10"/>
        <v>03103</v>
      </c>
    </row>
    <row r="170" spans="1:22" ht="20.100000000000001" customHeight="1" x14ac:dyDescent="0.2">
      <c r="A170" s="1" t="s">
        <v>189</v>
      </c>
      <c r="B170" s="1">
        <v>125809</v>
      </c>
      <c r="C170" s="1">
        <v>186</v>
      </c>
      <c r="T170" s="1" t="str">
        <f t="shared" si="8"/>
        <v>Elizabeth</v>
      </c>
      <c r="U170" s="1" t="str">
        <f t="shared" si="9"/>
        <v xml:space="preserve">New Jersey </v>
      </c>
      <c r="V170" s="1" t="str">
        <f t="shared" si="10"/>
        <v>07208</v>
      </c>
    </row>
    <row r="171" spans="1:22" ht="20.100000000000001" customHeight="1" x14ac:dyDescent="0.2">
      <c r="A171" s="1" t="s">
        <v>190</v>
      </c>
      <c r="B171" s="1">
        <v>239614</v>
      </c>
      <c r="C171" s="1">
        <v>72</v>
      </c>
      <c r="T171" s="1" t="str">
        <f t="shared" si="8"/>
        <v>Jersey City</v>
      </c>
      <c r="U171" s="1" t="str">
        <f t="shared" si="9"/>
        <v xml:space="preserve">New Jersey </v>
      </c>
      <c r="V171" s="1" t="str">
        <f t="shared" si="10"/>
        <v>07302</v>
      </c>
    </row>
    <row r="172" spans="1:22" ht="20.100000000000001" customHeight="1" x14ac:dyDescent="0.2">
      <c r="A172" s="1" t="s">
        <v>191</v>
      </c>
      <c r="B172" s="1">
        <v>280666</v>
      </c>
      <c r="C172" s="1">
        <v>65</v>
      </c>
      <c r="T172" s="1" t="str">
        <f t="shared" si="8"/>
        <v>Newark</v>
      </c>
      <c r="U172" s="1" t="str">
        <f t="shared" si="9"/>
        <v xml:space="preserve">New Jersey </v>
      </c>
      <c r="V172" s="1" t="str">
        <f t="shared" si="10"/>
        <v>07102</v>
      </c>
    </row>
    <row r="173" spans="1:22" ht="20.100000000000001" customHeight="1" x14ac:dyDescent="0.2">
      <c r="A173" s="1" t="s">
        <v>192</v>
      </c>
      <c r="B173" s="1">
        <v>149843</v>
      </c>
      <c r="C173" s="1">
        <v>150</v>
      </c>
      <c r="T173" s="1" t="str">
        <f t="shared" si="8"/>
        <v>Paterson</v>
      </c>
      <c r="U173" s="1" t="str">
        <f t="shared" si="9"/>
        <v xml:space="preserve">New Jersey </v>
      </c>
      <c r="V173" s="1" t="str">
        <f t="shared" si="10"/>
        <v>07510</v>
      </c>
    </row>
    <row r="174" spans="1:22" ht="20.100000000000001" customHeight="1" x14ac:dyDescent="0.2">
      <c r="A174" s="1" t="s">
        <v>193</v>
      </c>
      <c r="B174" s="1">
        <v>494236</v>
      </c>
      <c r="C174" s="1">
        <v>33</v>
      </c>
      <c r="T174" s="1" t="str">
        <f t="shared" si="8"/>
        <v>Albuquerque</v>
      </c>
      <c r="U174" s="1" t="str">
        <f t="shared" si="9"/>
        <v xml:space="preserve">New Mexico </v>
      </c>
      <c r="V174" s="1" t="str">
        <f t="shared" si="10"/>
        <v>87101</v>
      </c>
    </row>
    <row r="175" spans="1:22" ht="20.100000000000001" customHeight="1" x14ac:dyDescent="0.2">
      <c r="A175" s="1" t="s">
        <v>194</v>
      </c>
      <c r="B175" s="1">
        <v>279745</v>
      </c>
      <c r="C175" s="1">
        <v>66</v>
      </c>
      <c r="T175" s="1" t="str">
        <f t="shared" si="8"/>
        <v>Buffalo</v>
      </c>
      <c r="U175" s="1" t="str">
        <f t="shared" si="9"/>
        <v xml:space="preserve">New York  </v>
      </c>
      <c r="V175" s="1" t="str">
        <f t="shared" si="10"/>
        <v>14240</v>
      </c>
    </row>
    <row r="176" spans="1:22" ht="20.100000000000001" customHeight="1" x14ac:dyDescent="0.2">
      <c r="A176" s="1" t="s">
        <v>195</v>
      </c>
      <c r="B176" s="1">
        <v>8143197</v>
      </c>
      <c r="C176" s="1">
        <v>1</v>
      </c>
      <c r="T176" s="1" t="str">
        <f t="shared" si="8"/>
        <v>New York</v>
      </c>
      <c r="U176" s="1" t="str">
        <f t="shared" si="9"/>
        <v xml:space="preserve">New York  </v>
      </c>
      <c r="V176" s="1" t="str">
        <f t="shared" si="10"/>
        <v>10199</v>
      </c>
    </row>
    <row r="177" spans="1:22" ht="20.100000000000001" customHeight="1" x14ac:dyDescent="0.2">
      <c r="A177" s="1" t="s">
        <v>196</v>
      </c>
      <c r="B177" s="1">
        <v>211091</v>
      </c>
      <c r="C177" s="1">
        <v>88</v>
      </c>
      <c r="T177" s="1" t="str">
        <f t="shared" si="8"/>
        <v>Rochester</v>
      </c>
      <c r="U177" s="1" t="str">
        <f t="shared" si="9"/>
        <v xml:space="preserve">New York  </v>
      </c>
      <c r="V177" s="1" t="str">
        <f t="shared" si="10"/>
        <v>14692</v>
      </c>
    </row>
    <row r="178" spans="1:22" ht="20.100000000000001" customHeight="1" x14ac:dyDescent="0.2">
      <c r="A178" s="1" t="s">
        <v>197</v>
      </c>
      <c r="B178" s="1">
        <v>141683</v>
      </c>
      <c r="C178" s="1">
        <v>162</v>
      </c>
      <c r="T178" s="1" t="str">
        <f t="shared" si="8"/>
        <v>Syracuse</v>
      </c>
      <c r="U178" s="1" t="str">
        <f t="shared" si="9"/>
        <v xml:space="preserve">New York  </v>
      </c>
      <c r="V178" s="1" t="str">
        <f t="shared" si="10"/>
        <v>13220</v>
      </c>
    </row>
    <row r="179" spans="1:22" ht="20.100000000000001" customHeight="1" x14ac:dyDescent="0.2">
      <c r="A179" s="1" t="s">
        <v>198</v>
      </c>
      <c r="B179" s="1">
        <v>196425</v>
      </c>
      <c r="C179" s="1">
        <v>102</v>
      </c>
      <c r="T179" s="1" t="str">
        <f t="shared" si="8"/>
        <v>Yonkers</v>
      </c>
      <c r="U179" s="1" t="str">
        <f t="shared" si="9"/>
        <v xml:space="preserve">New York  </v>
      </c>
      <c r="V179" s="1" t="str">
        <f t="shared" si="10"/>
        <v>10701</v>
      </c>
    </row>
    <row r="180" spans="1:22" ht="20.100000000000001" customHeight="1" x14ac:dyDescent="0.2">
      <c r="A180" s="1" t="s">
        <v>199</v>
      </c>
      <c r="B180" s="1">
        <v>106439</v>
      </c>
      <c r="C180" s="1">
        <v>228</v>
      </c>
      <c r="T180" s="1" t="str">
        <f t="shared" si="8"/>
        <v>Cary</v>
      </c>
      <c r="U180" s="1" t="str">
        <f t="shared" si="9"/>
        <v xml:space="preserve">North Carolina </v>
      </c>
      <c r="V180" s="1" t="str">
        <f t="shared" si="10"/>
        <v>27511</v>
      </c>
    </row>
    <row r="181" spans="1:22" ht="20.100000000000001" customHeight="1" x14ac:dyDescent="0.2">
      <c r="A181" s="1" t="s">
        <v>200</v>
      </c>
      <c r="B181" s="1">
        <v>610949</v>
      </c>
      <c r="C181" s="1">
        <v>20</v>
      </c>
      <c r="T181" s="1" t="str">
        <f t="shared" si="8"/>
        <v>Charlotte</v>
      </c>
      <c r="U181" s="1" t="str">
        <f t="shared" si="9"/>
        <v xml:space="preserve">North Carolina </v>
      </c>
      <c r="V181" s="1" t="str">
        <f t="shared" si="10"/>
        <v>28228</v>
      </c>
    </row>
    <row r="182" spans="1:22" ht="20.100000000000001" customHeight="1" x14ac:dyDescent="0.2">
      <c r="A182" s="1" t="s">
        <v>201</v>
      </c>
      <c r="B182" s="1">
        <v>204845</v>
      </c>
      <c r="C182" s="1">
        <v>94</v>
      </c>
      <c r="T182" s="1" t="str">
        <f t="shared" si="8"/>
        <v>Durham</v>
      </c>
      <c r="U182" s="1" t="str">
        <f t="shared" si="9"/>
        <v xml:space="preserve">North Carolina </v>
      </c>
      <c r="V182" s="1" t="str">
        <f t="shared" si="10"/>
        <v>27701</v>
      </c>
    </row>
    <row r="183" spans="1:22" ht="20.100000000000001" customHeight="1" x14ac:dyDescent="0.2">
      <c r="A183" s="1" t="s">
        <v>202</v>
      </c>
      <c r="B183" s="1">
        <v>129928</v>
      </c>
      <c r="C183" s="1">
        <v>179</v>
      </c>
      <c r="T183" s="1" t="str">
        <f t="shared" si="8"/>
        <v>Fayetteville</v>
      </c>
      <c r="U183" s="1" t="str">
        <f t="shared" si="9"/>
        <v xml:space="preserve">North Carolina </v>
      </c>
      <c r="V183" s="1" t="str">
        <f t="shared" si="10"/>
        <v>28302</v>
      </c>
    </row>
    <row r="184" spans="1:22" ht="20.100000000000001" customHeight="1" x14ac:dyDescent="0.2">
      <c r="A184" s="1" t="s">
        <v>203</v>
      </c>
      <c r="B184" s="1">
        <v>231962</v>
      </c>
      <c r="C184" s="1">
        <v>77</v>
      </c>
      <c r="T184" s="1" t="str">
        <f t="shared" si="8"/>
        <v>Greensboro</v>
      </c>
      <c r="U184" s="1" t="str">
        <f t="shared" si="9"/>
        <v xml:space="preserve">North Carolina </v>
      </c>
      <c r="V184" s="1" t="str">
        <f t="shared" si="10"/>
        <v>27420</v>
      </c>
    </row>
    <row r="185" spans="1:22" ht="20.100000000000001" customHeight="1" x14ac:dyDescent="0.2">
      <c r="A185" s="1" t="s">
        <v>204</v>
      </c>
      <c r="B185" s="1">
        <v>341530</v>
      </c>
      <c r="C185" s="1">
        <v>53</v>
      </c>
      <c r="T185" s="1" t="str">
        <f t="shared" si="8"/>
        <v>Raleigh</v>
      </c>
      <c r="U185" s="1" t="str">
        <f t="shared" si="9"/>
        <v xml:space="preserve">North Carolina </v>
      </c>
      <c r="V185" s="1" t="str">
        <f t="shared" si="10"/>
        <v>27613</v>
      </c>
    </row>
    <row r="186" spans="1:22" ht="20.100000000000001" customHeight="1" x14ac:dyDescent="0.2">
      <c r="A186" s="1" t="s">
        <v>205</v>
      </c>
      <c r="B186" s="1">
        <v>193755</v>
      </c>
      <c r="C186" s="1">
        <v>109</v>
      </c>
      <c r="T186" s="1" t="str">
        <f t="shared" si="8"/>
        <v>Winston</v>
      </c>
      <c r="U186" s="1" t="str">
        <f t="shared" si="9"/>
        <v xml:space="preserve">North Carolina </v>
      </c>
      <c r="V186" s="1" t="str">
        <f t="shared" si="10"/>
        <v>27102</v>
      </c>
    </row>
    <row r="187" spans="1:22" ht="20.100000000000001" customHeight="1" x14ac:dyDescent="0.2">
      <c r="A187" s="1" t="s">
        <v>206</v>
      </c>
      <c r="B187" s="1">
        <v>210795</v>
      </c>
      <c r="C187" s="1">
        <v>89</v>
      </c>
      <c r="T187" s="1" t="str">
        <f t="shared" si="8"/>
        <v>Akron</v>
      </c>
      <c r="U187" s="1" t="str">
        <f t="shared" si="9"/>
        <v xml:space="preserve">Ohio </v>
      </c>
      <c r="V187" s="1" t="str">
        <f t="shared" si="10"/>
        <v>44309</v>
      </c>
    </row>
    <row r="188" spans="1:22" ht="20.100000000000001" customHeight="1" x14ac:dyDescent="0.2">
      <c r="A188" s="1" t="s">
        <v>207</v>
      </c>
      <c r="B188" s="1">
        <v>308728</v>
      </c>
      <c r="C188" s="1">
        <v>58</v>
      </c>
      <c r="T188" s="1" t="str">
        <f t="shared" si="8"/>
        <v>Cincinnati</v>
      </c>
      <c r="U188" s="1" t="str">
        <f t="shared" si="9"/>
        <v xml:space="preserve">Ohio </v>
      </c>
      <c r="V188" s="1" t="str">
        <f t="shared" si="10"/>
        <v>45225</v>
      </c>
    </row>
    <row r="189" spans="1:22" ht="20.100000000000001" customHeight="1" x14ac:dyDescent="0.2">
      <c r="A189" s="1" t="s">
        <v>208</v>
      </c>
      <c r="B189" s="1">
        <v>452208</v>
      </c>
      <c r="C189" s="1">
        <v>39</v>
      </c>
      <c r="T189" s="1" t="str">
        <f t="shared" si="8"/>
        <v>Cleveland</v>
      </c>
      <c r="U189" s="1" t="str">
        <f t="shared" si="9"/>
        <v xml:space="preserve">Ohio </v>
      </c>
      <c r="V189" s="1" t="str">
        <f t="shared" si="10"/>
        <v>44101</v>
      </c>
    </row>
    <row r="190" spans="1:22" ht="20.100000000000001" customHeight="1" x14ac:dyDescent="0.2">
      <c r="A190" s="1" t="s">
        <v>209</v>
      </c>
      <c r="B190" s="1">
        <v>730657</v>
      </c>
      <c r="C190" s="1">
        <v>15</v>
      </c>
      <c r="T190" s="1" t="str">
        <f t="shared" si="8"/>
        <v>Columbus</v>
      </c>
      <c r="U190" s="1" t="str">
        <f t="shared" si="9"/>
        <v xml:space="preserve">Ohio </v>
      </c>
      <c r="V190" s="1" t="str">
        <f t="shared" si="10"/>
        <v>43216</v>
      </c>
    </row>
    <row r="191" spans="1:22" ht="20.100000000000001" customHeight="1" x14ac:dyDescent="0.2">
      <c r="A191" s="1" t="s">
        <v>210</v>
      </c>
      <c r="B191" s="1">
        <v>158873</v>
      </c>
      <c r="C191" s="1">
        <v>140</v>
      </c>
      <c r="T191" s="1" t="str">
        <f t="shared" si="8"/>
        <v>Dayton</v>
      </c>
      <c r="U191" s="1" t="str">
        <f t="shared" si="9"/>
        <v xml:space="preserve">Ohio </v>
      </c>
      <c r="V191" s="1" t="str">
        <f t="shared" si="10"/>
        <v>45401</v>
      </c>
    </row>
    <row r="192" spans="1:22" ht="20.100000000000001" customHeight="1" x14ac:dyDescent="0.2">
      <c r="A192" s="1" t="s">
        <v>211</v>
      </c>
      <c r="B192" s="1">
        <v>301285</v>
      </c>
      <c r="C192" s="1">
        <v>59</v>
      </c>
      <c r="T192" s="1" t="str">
        <f t="shared" si="8"/>
        <v>Toledo</v>
      </c>
      <c r="U192" s="1" t="str">
        <f t="shared" si="9"/>
        <v xml:space="preserve">Ohio </v>
      </c>
      <c r="V192" s="1" t="str">
        <f t="shared" si="10"/>
        <v>43601</v>
      </c>
    </row>
    <row r="193" spans="1:22" ht="20.100000000000001" customHeight="1" x14ac:dyDescent="0.2">
      <c r="A193" s="1" t="s">
        <v>212</v>
      </c>
      <c r="B193" s="1">
        <v>101719</v>
      </c>
      <c r="C193" s="1">
        <v>246</v>
      </c>
      <c r="T193" s="1" t="str">
        <f t="shared" si="8"/>
        <v>Norman</v>
      </c>
      <c r="U193" s="1" t="str">
        <f t="shared" si="9"/>
        <v xml:space="preserve">Oklahoma </v>
      </c>
      <c r="V193" s="1" t="str">
        <f t="shared" si="10"/>
        <v>73019</v>
      </c>
    </row>
    <row r="194" spans="1:22" ht="20.100000000000001" customHeight="1" x14ac:dyDescent="0.2">
      <c r="A194" s="1" t="s">
        <v>213</v>
      </c>
      <c r="B194" s="1">
        <v>531324</v>
      </c>
      <c r="C194" s="1">
        <v>31</v>
      </c>
      <c r="T194" s="1" t="str">
        <f t="shared" si="8"/>
        <v>Oklahoma City</v>
      </c>
      <c r="U194" s="1" t="str">
        <f t="shared" si="9"/>
        <v xml:space="preserve">Oklahoma </v>
      </c>
      <c r="V194" s="1" t="str">
        <f t="shared" si="10"/>
        <v>73125</v>
      </c>
    </row>
    <row r="195" spans="1:22" ht="20.100000000000001" customHeight="1" x14ac:dyDescent="0.2">
      <c r="A195" s="1" t="s">
        <v>214</v>
      </c>
      <c r="B195" s="1">
        <v>382457</v>
      </c>
      <c r="C195" s="1">
        <v>46</v>
      </c>
      <c r="T195" s="1" t="str">
        <f t="shared" si="8"/>
        <v>Tulsa</v>
      </c>
      <c r="U195" s="1" t="str">
        <f t="shared" si="9"/>
        <v xml:space="preserve">Oklahoma </v>
      </c>
      <c r="V195" s="1" t="str">
        <f t="shared" si="10"/>
        <v>74107</v>
      </c>
    </row>
    <row r="196" spans="1:22" ht="20.100000000000001" customHeight="1" x14ac:dyDescent="0.2">
      <c r="A196" s="1" t="s">
        <v>215</v>
      </c>
      <c r="B196" s="1">
        <v>144515</v>
      </c>
      <c r="C196" s="1">
        <v>156</v>
      </c>
      <c r="T196" s="1" t="str">
        <f t="shared" ref="T196:T255" si="11">LEFT(A196,FIND(",",A196)-1)</f>
        <v>Eugene</v>
      </c>
      <c r="U196" s="1" t="str">
        <f t="shared" ref="U196:U255" si="12">MID(A196,FIND(",",A196)+2,LEN(A196)-FIND(",",A196)-7)</f>
        <v xml:space="preserve">Oregon </v>
      </c>
      <c r="V196" s="1" t="str">
        <f t="shared" ref="V196:V255" si="13">RIGHT(A196,5)</f>
        <v>97401</v>
      </c>
    </row>
    <row r="197" spans="1:22" ht="20.100000000000001" customHeight="1" x14ac:dyDescent="0.2">
      <c r="A197" s="1" t="s">
        <v>216</v>
      </c>
      <c r="B197" s="1">
        <v>533427</v>
      </c>
      <c r="C197" s="1">
        <v>30</v>
      </c>
      <c r="T197" s="1" t="str">
        <f t="shared" si="11"/>
        <v>Portland</v>
      </c>
      <c r="U197" s="1" t="str">
        <f t="shared" si="12"/>
        <v xml:space="preserve">Oregon </v>
      </c>
      <c r="V197" s="1" t="str">
        <f t="shared" si="13"/>
        <v>97208</v>
      </c>
    </row>
    <row r="198" spans="1:22" ht="20.100000000000001" customHeight="1" x14ac:dyDescent="0.2">
      <c r="A198" s="1" t="s">
        <v>217</v>
      </c>
      <c r="B198" s="1">
        <v>148751</v>
      </c>
      <c r="C198" s="1">
        <v>152</v>
      </c>
      <c r="T198" s="1" t="str">
        <f t="shared" si="11"/>
        <v>Salem</v>
      </c>
      <c r="U198" s="1" t="str">
        <f t="shared" si="12"/>
        <v xml:space="preserve">Oregon </v>
      </c>
      <c r="V198" s="1" t="str">
        <f t="shared" si="13"/>
        <v>97309</v>
      </c>
    </row>
    <row r="199" spans="1:22" ht="20.100000000000001" customHeight="1" x14ac:dyDescent="0.2">
      <c r="A199" s="1" t="s">
        <v>218</v>
      </c>
      <c r="B199" s="1">
        <v>106992</v>
      </c>
      <c r="C199" s="1">
        <v>225</v>
      </c>
      <c r="T199" s="1" t="str">
        <f t="shared" si="11"/>
        <v>Allentown</v>
      </c>
      <c r="U199" s="1" t="str">
        <f t="shared" si="12"/>
        <v xml:space="preserve">Pennsylvania </v>
      </c>
      <c r="V199" s="1" t="str">
        <f t="shared" si="13"/>
        <v>18101</v>
      </c>
    </row>
    <row r="200" spans="1:22" ht="20.100000000000001" customHeight="1" x14ac:dyDescent="0.2">
      <c r="A200" s="1" t="s">
        <v>219</v>
      </c>
      <c r="B200" s="1">
        <v>102612</v>
      </c>
      <c r="C200" s="1">
        <v>244</v>
      </c>
      <c r="T200" s="1" t="str">
        <f t="shared" si="11"/>
        <v>Erie</v>
      </c>
      <c r="U200" s="1" t="str">
        <f t="shared" si="12"/>
        <v xml:space="preserve">Pennsylvania </v>
      </c>
      <c r="V200" s="1" t="str">
        <f t="shared" si="13"/>
        <v>16515</v>
      </c>
    </row>
    <row r="201" spans="1:22" ht="20.100000000000001" customHeight="1" x14ac:dyDescent="0.2">
      <c r="A201" s="1" t="s">
        <v>220</v>
      </c>
      <c r="B201" s="1">
        <v>1463281</v>
      </c>
      <c r="C201" s="1">
        <v>5</v>
      </c>
      <c r="T201" s="1" t="str">
        <f t="shared" si="11"/>
        <v>Philadelphia</v>
      </c>
      <c r="U201" s="1" t="str">
        <f t="shared" si="12"/>
        <v xml:space="preserve">Pennsylvania </v>
      </c>
      <c r="V201" s="1" t="str">
        <f t="shared" si="13"/>
        <v>19104</v>
      </c>
    </row>
    <row r="202" spans="1:22" ht="20.100000000000001" customHeight="1" x14ac:dyDescent="0.2">
      <c r="A202" s="1" t="s">
        <v>221</v>
      </c>
      <c r="B202" s="1">
        <v>316718</v>
      </c>
      <c r="C202" s="1">
        <v>57</v>
      </c>
      <c r="T202" s="1" t="str">
        <f t="shared" si="11"/>
        <v>Pittsburgh</v>
      </c>
      <c r="U202" s="1" t="str">
        <f t="shared" si="12"/>
        <v xml:space="preserve">Pennsylvania </v>
      </c>
      <c r="V202" s="1" t="str">
        <f t="shared" si="13"/>
        <v>15290</v>
      </c>
    </row>
    <row r="203" spans="1:22" ht="20.100000000000001" customHeight="1" x14ac:dyDescent="0.2">
      <c r="A203" s="1" t="s">
        <v>222</v>
      </c>
      <c r="B203" s="1">
        <v>176862</v>
      </c>
      <c r="C203" s="1">
        <v>124</v>
      </c>
      <c r="T203" s="1" t="str">
        <f t="shared" si="11"/>
        <v>Providence</v>
      </c>
      <c r="U203" s="1" t="str">
        <f t="shared" si="12"/>
        <v xml:space="preserve">Rhode Island </v>
      </c>
      <c r="V203" s="1" t="str">
        <f t="shared" si="13"/>
        <v>02904</v>
      </c>
    </row>
    <row r="204" spans="1:22" ht="20.100000000000001" customHeight="1" x14ac:dyDescent="0.2">
      <c r="A204" s="1" t="s">
        <v>223</v>
      </c>
      <c r="B204" s="1">
        <v>106712</v>
      </c>
      <c r="C204" s="1">
        <v>226</v>
      </c>
      <c r="T204" s="1" t="str">
        <f t="shared" si="11"/>
        <v>Charleston</v>
      </c>
      <c r="U204" s="1" t="str">
        <f t="shared" si="12"/>
        <v xml:space="preserve">South Carolina </v>
      </c>
      <c r="V204" s="1" t="str">
        <f t="shared" si="13"/>
        <v>29401</v>
      </c>
    </row>
    <row r="205" spans="1:22" ht="20.100000000000001" customHeight="1" x14ac:dyDescent="0.2">
      <c r="A205" s="1" t="s">
        <v>224</v>
      </c>
      <c r="B205" s="1">
        <v>117088</v>
      </c>
      <c r="C205" s="1">
        <v>202</v>
      </c>
      <c r="T205" s="1" t="str">
        <f t="shared" si="11"/>
        <v>Columbia</v>
      </c>
      <c r="U205" s="1" t="str">
        <f t="shared" si="12"/>
        <v xml:space="preserve">South Carolina </v>
      </c>
      <c r="V205" s="1" t="str">
        <f t="shared" si="13"/>
        <v>29201</v>
      </c>
    </row>
    <row r="206" spans="1:22" ht="20.100000000000001" customHeight="1" x14ac:dyDescent="0.2">
      <c r="A206" s="1" t="s">
        <v>225</v>
      </c>
      <c r="B206" s="1">
        <v>139517</v>
      </c>
      <c r="C206" s="1">
        <v>167</v>
      </c>
      <c r="T206" s="1" t="str">
        <f t="shared" si="11"/>
        <v>Sioux Falls</v>
      </c>
      <c r="U206" s="1" t="str">
        <f t="shared" si="12"/>
        <v xml:space="preserve">South Dakota </v>
      </c>
      <c r="V206" s="1" t="str">
        <f t="shared" si="13"/>
        <v>57104</v>
      </c>
    </row>
    <row r="207" spans="1:22" ht="20.100000000000001" customHeight="1" x14ac:dyDescent="0.2">
      <c r="A207" s="1" t="s">
        <v>226</v>
      </c>
      <c r="B207" s="1">
        <v>154762</v>
      </c>
      <c r="C207" s="1">
        <v>143</v>
      </c>
      <c r="T207" s="1" t="str">
        <f t="shared" si="11"/>
        <v>Chattanooga</v>
      </c>
      <c r="U207" s="1" t="str">
        <f t="shared" si="12"/>
        <v xml:space="preserve">Tennessee </v>
      </c>
      <c r="V207" s="1" t="str">
        <f t="shared" si="13"/>
        <v>37421</v>
      </c>
    </row>
    <row r="208" spans="1:22" ht="20.100000000000001" customHeight="1" x14ac:dyDescent="0.2">
      <c r="A208" s="1" t="s">
        <v>227</v>
      </c>
      <c r="B208" s="1">
        <v>112878</v>
      </c>
      <c r="C208" s="1">
        <v>210</v>
      </c>
      <c r="T208" s="1" t="str">
        <f t="shared" si="11"/>
        <v>Clarksville</v>
      </c>
      <c r="U208" s="1" t="str">
        <f t="shared" si="12"/>
        <v xml:space="preserve">Tennessee </v>
      </c>
      <c r="V208" s="1" t="str">
        <f t="shared" si="13"/>
        <v>37043</v>
      </c>
    </row>
    <row r="209" spans="1:22" ht="20.100000000000001" customHeight="1" x14ac:dyDescent="0.2">
      <c r="A209" s="1" t="s">
        <v>228</v>
      </c>
      <c r="B209" s="1">
        <v>180130</v>
      </c>
      <c r="C209" s="1">
        <v>119</v>
      </c>
      <c r="T209" s="1" t="str">
        <f t="shared" si="11"/>
        <v>Knoxville</v>
      </c>
      <c r="U209" s="1" t="str">
        <f t="shared" si="12"/>
        <v xml:space="preserve">Tennessee </v>
      </c>
      <c r="V209" s="1" t="str">
        <f t="shared" si="13"/>
        <v>37950</v>
      </c>
    </row>
    <row r="210" spans="1:22" ht="20.100000000000001" customHeight="1" x14ac:dyDescent="0.2">
      <c r="A210" s="1" t="s">
        <v>229</v>
      </c>
      <c r="B210" s="1">
        <v>672277</v>
      </c>
      <c r="C210" s="1">
        <v>17</v>
      </c>
      <c r="T210" s="1" t="str">
        <f t="shared" si="11"/>
        <v>Memphis</v>
      </c>
      <c r="U210" s="1" t="str">
        <f t="shared" si="12"/>
        <v xml:space="preserve">Tennessee </v>
      </c>
      <c r="V210" s="1" t="str">
        <f t="shared" si="13"/>
        <v>38101</v>
      </c>
    </row>
    <row r="211" spans="1:22" ht="20.100000000000001" customHeight="1" x14ac:dyDescent="0.2">
      <c r="A211" s="1" t="s">
        <v>230</v>
      </c>
      <c r="B211" s="1">
        <v>549110</v>
      </c>
      <c r="C211" s="1">
        <v>28</v>
      </c>
      <c r="T211" s="1" t="str">
        <f t="shared" si="11"/>
        <v>Nashville</v>
      </c>
      <c r="U211" s="1" t="str">
        <f t="shared" si="12"/>
        <v xml:space="preserve">Tennessee </v>
      </c>
      <c r="V211" s="1" t="str">
        <f t="shared" si="13"/>
        <v>37230</v>
      </c>
    </row>
    <row r="212" spans="1:22" ht="20.100000000000001" customHeight="1" x14ac:dyDescent="0.2">
      <c r="A212" s="1" t="s">
        <v>231</v>
      </c>
      <c r="B212" s="1">
        <v>114757</v>
      </c>
      <c r="C212" s="1">
        <v>206</v>
      </c>
      <c r="T212" s="1" t="str">
        <f t="shared" si="11"/>
        <v>Abilene</v>
      </c>
      <c r="U212" s="1" t="str">
        <f t="shared" si="12"/>
        <v xml:space="preserve">Texas </v>
      </c>
      <c r="V212" s="1" t="str">
        <f t="shared" si="13"/>
        <v>79604</v>
      </c>
    </row>
    <row r="213" spans="1:22" ht="20.100000000000001" customHeight="1" x14ac:dyDescent="0.2">
      <c r="A213" s="1" t="s">
        <v>232</v>
      </c>
      <c r="B213" s="1">
        <v>183021</v>
      </c>
      <c r="C213" s="1">
        <v>118</v>
      </c>
      <c r="T213" s="1" t="str">
        <f t="shared" si="11"/>
        <v>Amarillo</v>
      </c>
      <c r="U213" s="1" t="str">
        <f t="shared" si="12"/>
        <v xml:space="preserve">Texas </v>
      </c>
      <c r="V213" s="1" t="str">
        <f t="shared" si="13"/>
        <v>79120</v>
      </c>
    </row>
    <row r="214" spans="1:22" ht="20.100000000000001" customHeight="1" x14ac:dyDescent="0.2">
      <c r="A214" s="1" t="s">
        <v>233</v>
      </c>
      <c r="B214" s="1">
        <v>362805</v>
      </c>
      <c r="C214" s="1">
        <v>50</v>
      </c>
      <c r="T214" s="1" t="str">
        <f t="shared" si="11"/>
        <v>Arlington</v>
      </c>
      <c r="U214" s="1" t="str">
        <f t="shared" si="12"/>
        <v xml:space="preserve">Texas </v>
      </c>
      <c r="V214" s="1" t="str">
        <f t="shared" si="13"/>
        <v>76004</v>
      </c>
    </row>
    <row r="215" spans="1:22" ht="20.100000000000001" customHeight="1" x14ac:dyDescent="0.2">
      <c r="A215" s="1" t="s">
        <v>234</v>
      </c>
      <c r="B215" s="1">
        <v>690252</v>
      </c>
      <c r="C215" s="1">
        <v>16</v>
      </c>
      <c r="T215" s="1" t="str">
        <f t="shared" si="11"/>
        <v>Austin</v>
      </c>
      <c r="U215" s="1" t="str">
        <f t="shared" si="12"/>
        <v xml:space="preserve">Texas </v>
      </c>
      <c r="V215" s="1" t="str">
        <f t="shared" si="13"/>
        <v>78710</v>
      </c>
    </row>
    <row r="216" spans="1:22" ht="20.100000000000001" customHeight="1" x14ac:dyDescent="0.2">
      <c r="A216" s="1" t="s">
        <v>235</v>
      </c>
      <c r="B216" s="1">
        <v>111799</v>
      </c>
      <c r="C216" s="1">
        <v>214</v>
      </c>
      <c r="T216" s="1" t="str">
        <f t="shared" si="11"/>
        <v>Beaumont</v>
      </c>
      <c r="U216" s="1" t="str">
        <f t="shared" si="12"/>
        <v xml:space="preserve">Texas </v>
      </c>
      <c r="V216" s="1" t="str">
        <f t="shared" si="13"/>
        <v>77707</v>
      </c>
    </row>
    <row r="217" spans="1:22" ht="20.100000000000001" customHeight="1" x14ac:dyDescent="0.2">
      <c r="A217" s="1" t="s">
        <v>236</v>
      </c>
      <c r="B217" s="1">
        <v>167493</v>
      </c>
      <c r="C217" s="1">
        <v>132</v>
      </c>
      <c r="T217" s="1" t="str">
        <f t="shared" si="11"/>
        <v>Brownsville</v>
      </c>
      <c r="U217" s="1" t="str">
        <f t="shared" si="12"/>
        <v xml:space="preserve">Texas </v>
      </c>
      <c r="V217" s="1" t="str">
        <f t="shared" si="13"/>
        <v>78520</v>
      </c>
    </row>
    <row r="218" spans="1:22" ht="20.100000000000001" customHeight="1" x14ac:dyDescent="0.2">
      <c r="A218" s="1" t="s">
        <v>237</v>
      </c>
      <c r="B218" s="1">
        <v>118870</v>
      </c>
      <c r="C218" s="1">
        <v>197</v>
      </c>
      <c r="T218" s="1" t="str">
        <f t="shared" si="11"/>
        <v>Carrollton</v>
      </c>
      <c r="U218" s="1" t="str">
        <f t="shared" si="12"/>
        <v xml:space="preserve">Texas </v>
      </c>
      <c r="V218" s="1" t="str">
        <f t="shared" si="13"/>
        <v>75006</v>
      </c>
    </row>
    <row r="219" spans="1:22" ht="20.100000000000001" customHeight="1" x14ac:dyDescent="0.2">
      <c r="A219" s="1" t="s">
        <v>238</v>
      </c>
      <c r="B219" s="1">
        <v>283474</v>
      </c>
      <c r="C219" s="1">
        <v>64</v>
      </c>
      <c r="T219" s="1" t="str">
        <f t="shared" si="11"/>
        <v>Corpus Christi</v>
      </c>
      <c r="U219" s="1" t="str">
        <f t="shared" si="12"/>
        <v xml:space="preserve">Texas </v>
      </c>
      <c r="V219" s="1" t="str">
        <f t="shared" si="13"/>
        <v>78469</v>
      </c>
    </row>
    <row r="220" spans="1:22" ht="20.100000000000001" customHeight="1" x14ac:dyDescent="0.2">
      <c r="A220" s="1" t="s">
        <v>239</v>
      </c>
      <c r="B220" s="1">
        <v>1213825</v>
      </c>
      <c r="C220" s="1">
        <v>9</v>
      </c>
      <c r="T220" s="1" t="str">
        <f t="shared" si="11"/>
        <v>Dallas</v>
      </c>
      <c r="U220" s="1" t="str">
        <f t="shared" si="12"/>
        <v xml:space="preserve">Texas </v>
      </c>
      <c r="V220" s="1" t="str">
        <f t="shared" si="13"/>
        <v>75260</v>
      </c>
    </row>
    <row r="221" spans="1:22" ht="20.100000000000001" customHeight="1" x14ac:dyDescent="0.2">
      <c r="A221" s="1" t="s">
        <v>240</v>
      </c>
      <c r="B221" s="1">
        <v>104153</v>
      </c>
      <c r="C221" s="1">
        <v>237</v>
      </c>
      <c r="T221" s="1" t="str">
        <f t="shared" si="11"/>
        <v>Denton</v>
      </c>
      <c r="U221" s="1" t="str">
        <f t="shared" si="12"/>
        <v xml:space="preserve">Texas </v>
      </c>
      <c r="V221" s="1" t="str">
        <f t="shared" si="13"/>
        <v>76201</v>
      </c>
    </row>
    <row r="222" spans="1:22" ht="20.100000000000001" customHeight="1" x14ac:dyDescent="0.2">
      <c r="A222" s="1" t="s">
        <v>241</v>
      </c>
      <c r="B222" s="1">
        <v>598590</v>
      </c>
      <c r="C222" s="1">
        <v>21</v>
      </c>
      <c r="T222" s="1" t="str">
        <f t="shared" si="11"/>
        <v>El Paso</v>
      </c>
      <c r="U222" s="1" t="str">
        <f t="shared" si="12"/>
        <v xml:space="preserve">Texas </v>
      </c>
      <c r="V222" s="1" t="str">
        <f t="shared" si="13"/>
        <v>79910</v>
      </c>
    </row>
    <row r="223" spans="1:22" ht="20.100000000000001" customHeight="1" x14ac:dyDescent="0.2">
      <c r="A223" s="1" t="s">
        <v>242</v>
      </c>
      <c r="B223" s="1">
        <v>624067</v>
      </c>
      <c r="C223" s="1">
        <v>19</v>
      </c>
      <c r="T223" s="1" t="str">
        <f t="shared" si="11"/>
        <v>Fort Worth</v>
      </c>
      <c r="U223" s="1" t="str">
        <f t="shared" si="12"/>
        <v xml:space="preserve">Texas </v>
      </c>
      <c r="V223" s="1" t="str">
        <f t="shared" si="13"/>
        <v>76161</v>
      </c>
    </row>
    <row r="224" spans="1:22" ht="20.100000000000001" customHeight="1" x14ac:dyDescent="0.2">
      <c r="A224" s="1" t="s">
        <v>243</v>
      </c>
      <c r="B224" s="1">
        <v>216346</v>
      </c>
      <c r="C224" s="1">
        <v>86</v>
      </c>
      <c r="T224" s="1" t="str">
        <f t="shared" si="11"/>
        <v>Garland</v>
      </c>
      <c r="U224" s="1" t="str">
        <f t="shared" si="12"/>
        <v xml:space="preserve">Texas </v>
      </c>
      <c r="V224" s="1" t="str">
        <f t="shared" si="13"/>
        <v>75040</v>
      </c>
    </row>
    <row r="225" spans="1:22" ht="20.100000000000001" customHeight="1" x14ac:dyDescent="0.2">
      <c r="A225" s="1" t="s">
        <v>244</v>
      </c>
      <c r="B225" s="1">
        <v>144337</v>
      </c>
      <c r="C225" s="1">
        <v>157</v>
      </c>
      <c r="T225" s="1" t="str">
        <f t="shared" si="11"/>
        <v>Grand Prairie</v>
      </c>
      <c r="U225" s="1" t="str">
        <f t="shared" si="12"/>
        <v xml:space="preserve">Texas </v>
      </c>
      <c r="V225" s="1" t="str">
        <f t="shared" si="13"/>
        <v>75051</v>
      </c>
    </row>
    <row r="226" spans="1:22" ht="20.100000000000001" customHeight="1" x14ac:dyDescent="0.2">
      <c r="A226" s="1" t="s">
        <v>245</v>
      </c>
      <c r="B226" s="1">
        <v>2016582</v>
      </c>
      <c r="C226" s="1">
        <v>4</v>
      </c>
      <c r="T226" s="1" t="str">
        <f t="shared" si="11"/>
        <v>Houston</v>
      </c>
      <c r="U226" s="1" t="str">
        <f t="shared" si="12"/>
        <v xml:space="preserve">Texas </v>
      </c>
      <c r="V226" s="1" t="str">
        <f t="shared" si="13"/>
        <v>77201</v>
      </c>
    </row>
    <row r="227" spans="1:22" ht="20.100000000000001" customHeight="1" x14ac:dyDescent="0.2">
      <c r="A227" s="1" t="s">
        <v>246</v>
      </c>
      <c r="B227" s="1">
        <v>193649</v>
      </c>
      <c r="C227" s="1">
        <v>110</v>
      </c>
      <c r="T227" s="1" t="str">
        <f t="shared" si="11"/>
        <v>Irving</v>
      </c>
      <c r="U227" s="1" t="str">
        <f t="shared" si="12"/>
        <v xml:space="preserve">Texas </v>
      </c>
      <c r="V227" s="1" t="str">
        <f t="shared" si="13"/>
        <v>75061</v>
      </c>
    </row>
    <row r="228" spans="1:22" ht="20.100000000000001" customHeight="1" x14ac:dyDescent="0.2">
      <c r="A228" s="1" t="s">
        <v>247</v>
      </c>
      <c r="B228" s="1">
        <v>100233</v>
      </c>
      <c r="C228" s="1">
        <v>251</v>
      </c>
      <c r="T228" s="1" t="str">
        <f t="shared" si="11"/>
        <v>Killeen</v>
      </c>
      <c r="U228" s="1" t="str">
        <f t="shared" si="12"/>
        <v xml:space="preserve">Texas </v>
      </c>
      <c r="V228" s="1" t="str">
        <f t="shared" si="13"/>
        <v>76541</v>
      </c>
    </row>
    <row r="229" spans="1:22" ht="20.100000000000001" customHeight="1" x14ac:dyDescent="0.2">
      <c r="A229" s="1" t="s">
        <v>248</v>
      </c>
      <c r="B229" s="1">
        <v>208754</v>
      </c>
      <c r="C229" s="1">
        <v>92</v>
      </c>
      <c r="T229" s="1" t="str">
        <f t="shared" si="11"/>
        <v>Laredo</v>
      </c>
      <c r="U229" s="1" t="str">
        <f t="shared" si="12"/>
        <v xml:space="preserve">Texas </v>
      </c>
      <c r="V229" s="1" t="str">
        <f t="shared" si="13"/>
        <v>78041</v>
      </c>
    </row>
    <row r="230" spans="1:22" ht="20.100000000000001" customHeight="1" x14ac:dyDescent="0.2">
      <c r="A230" s="1" t="s">
        <v>249</v>
      </c>
      <c r="B230" s="1">
        <v>209737</v>
      </c>
      <c r="C230" s="1">
        <v>91</v>
      </c>
      <c r="T230" s="1" t="str">
        <f t="shared" si="11"/>
        <v>Lubbock</v>
      </c>
      <c r="U230" s="1" t="str">
        <f t="shared" si="12"/>
        <v xml:space="preserve">Texas </v>
      </c>
      <c r="V230" s="1" t="str">
        <f t="shared" si="13"/>
        <v>79402</v>
      </c>
    </row>
    <row r="231" spans="1:22" ht="20.100000000000001" customHeight="1" x14ac:dyDescent="0.2">
      <c r="A231" s="1" t="s">
        <v>250</v>
      </c>
      <c r="B231" s="1">
        <v>123622</v>
      </c>
      <c r="C231" s="1">
        <v>190</v>
      </c>
      <c r="T231" s="1" t="str">
        <f t="shared" si="11"/>
        <v>McAllen</v>
      </c>
      <c r="U231" s="1" t="str">
        <f t="shared" si="12"/>
        <v xml:space="preserve">Texas </v>
      </c>
      <c r="V231" s="1" t="str">
        <f t="shared" si="13"/>
        <v>78501</v>
      </c>
    </row>
    <row r="232" spans="1:22" ht="20.100000000000001" customHeight="1" x14ac:dyDescent="0.2">
      <c r="A232" s="1" t="s">
        <v>251</v>
      </c>
      <c r="B232" s="1">
        <v>129902</v>
      </c>
      <c r="C232" s="1">
        <v>180</v>
      </c>
      <c r="T232" s="1" t="str">
        <f t="shared" si="11"/>
        <v>Mesquite</v>
      </c>
      <c r="U232" s="1" t="str">
        <f t="shared" si="12"/>
        <v xml:space="preserve">Texas </v>
      </c>
      <c r="V232" s="1" t="str">
        <f t="shared" si="13"/>
        <v>75149</v>
      </c>
    </row>
    <row r="233" spans="1:22" ht="20.100000000000001" customHeight="1" x14ac:dyDescent="0.2">
      <c r="A233" s="1" t="s">
        <v>252</v>
      </c>
      <c r="B233" s="1">
        <v>143852</v>
      </c>
      <c r="C233" s="1">
        <v>159</v>
      </c>
      <c r="T233" s="1" t="str">
        <f t="shared" si="11"/>
        <v>Pasadena</v>
      </c>
      <c r="U233" s="1" t="str">
        <f t="shared" si="12"/>
        <v xml:space="preserve">Texas </v>
      </c>
      <c r="V233" s="1" t="str">
        <f t="shared" si="13"/>
        <v>77501</v>
      </c>
    </row>
    <row r="234" spans="1:22" ht="20.100000000000001" customHeight="1" x14ac:dyDescent="0.2">
      <c r="A234" s="1" t="s">
        <v>253</v>
      </c>
      <c r="B234" s="1">
        <v>250096</v>
      </c>
      <c r="C234" s="1">
        <v>70</v>
      </c>
      <c r="T234" s="1" t="str">
        <f t="shared" si="11"/>
        <v>Plano</v>
      </c>
      <c r="U234" s="1" t="str">
        <f t="shared" si="12"/>
        <v xml:space="preserve">Texas </v>
      </c>
      <c r="V234" s="1" t="str">
        <f t="shared" si="13"/>
        <v>75074</v>
      </c>
    </row>
    <row r="235" spans="1:22" ht="20.100000000000001" customHeight="1" x14ac:dyDescent="0.2">
      <c r="A235" s="1" t="s">
        <v>254</v>
      </c>
      <c r="B235" s="1">
        <v>1256509</v>
      </c>
      <c r="C235" s="1">
        <v>7</v>
      </c>
      <c r="T235" s="1" t="str">
        <f t="shared" si="11"/>
        <v>San Antonio</v>
      </c>
      <c r="U235" s="1" t="str">
        <f t="shared" si="12"/>
        <v xml:space="preserve">Texas </v>
      </c>
      <c r="V235" s="1" t="str">
        <f t="shared" si="13"/>
        <v>78284</v>
      </c>
    </row>
    <row r="236" spans="1:22" ht="20.100000000000001" customHeight="1" x14ac:dyDescent="0.2">
      <c r="A236" s="1" t="s">
        <v>255</v>
      </c>
      <c r="B236" s="1">
        <v>120465</v>
      </c>
      <c r="C236" s="1">
        <v>195</v>
      </c>
      <c r="T236" s="1" t="str">
        <f t="shared" si="11"/>
        <v>Waco</v>
      </c>
      <c r="U236" s="1" t="str">
        <f t="shared" si="12"/>
        <v xml:space="preserve">Texas </v>
      </c>
      <c r="V236" s="1" t="str">
        <f t="shared" si="13"/>
        <v>76702</v>
      </c>
    </row>
    <row r="237" spans="1:22" ht="20.100000000000001" customHeight="1" x14ac:dyDescent="0.2">
      <c r="A237" s="1" t="s">
        <v>256</v>
      </c>
      <c r="B237" s="1">
        <v>178097</v>
      </c>
      <c r="C237" s="1">
        <v>122</v>
      </c>
      <c r="T237" s="1" t="str">
        <f t="shared" si="11"/>
        <v>Salt Lake City</v>
      </c>
      <c r="U237" s="1" t="str">
        <f t="shared" si="12"/>
        <v xml:space="preserve">Utah </v>
      </c>
      <c r="V237" s="1" t="str">
        <f t="shared" si="13"/>
        <v>84199</v>
      </c>
    </row>
    <row r="238" spans="1:22" ht="20.100000000000001" customHeight="1" x14ac:dyDescent="0.2">
      <c r="A238" s="1" t="s">
        <v>257</v>
      </c>
      <c r="B238" s="1">
        <v>113300</v>
      </c>
      <c r="C238" s="1">
        <v>208</v>
      </c>
      <c r="T238" s="1" t="str">
        <f t="shared" si="11"/>
        <v>West Valley City</v>
      </c>
      <c r="U238" s="1" t="str">
        <f t="shared" si="12"/>
        <v xml:space="preserve">Utah </v>
      </c>
      <c r="V238" s="1" t="str">
        <f t="shared" si="13"/>
        <v>84199</v>
      </c>
    </row>
    <row r="239" spans="1:22" ht="20.100000000000001" customHeight="1" x14ac:dyDescent="0.2">
      <c r="A239" s="1" t="s">
        <v>258</v>
      </c>
      <c r="B239" s="1">
        <v>135337</v>
      </c>
      <c r="C239" s="1">
        <v>171</v>
      </c>
      <c r="T239" s="1" t="str">
        <f t="shared" si="11"/>
        <v>Alexandria</v>
      </c>
      <c r="U239" s="1" t="str">
        <f t="shared" si="12"/>
        <v xml:space="preserve">Virginia </v>
      </c>
      <c r="V239" s="1" t="str">
        <f t="shared" si="13"/>
        <v>22314</v>
      </c>
    </row>
    <row r="240" spans="1:22" ht="20.100000000000001" customHeight="1" x14ac:dyDescent="0.2">
      <c r="A240" s="1" t="s">
        <v>259</v>
      </c>
      <c r="B240" s="1">
        <v>195965</v>
      </c>
      <c r="C240" s="1">
        <v>103</v>
      </c>
      <c r="T240" s="1" t="str">
        <f t="shared" si="11"/>
        <v>Arlington CDP</v>
      </c>
      <c r="U240" s="1" t="str">
        <f t="shared" si="12"/>
        <v xml:space="preserve">Virginia </v>
      </c>
      <c r="V240" s="1" t="str">
        <f t="shared" si="13"/>
        <v>23320</v>
      </c>
    </row>
    <row r="241" spans="1:22" ht="20.100000000000001" customHeight="1" x14ac:dyDescent="0.2">
      <c r="A241" s="1" t="s">
        <v>260</v>
      </c>
      <c r="B241" s="1">
        <v>218968</v>
      </c>
      <c r="C241" s="1">
        <v>85</v>
      </c>
      <c r="T241" s="1" t="str">
        <f t="shared" si="11"/>
        <v>Chesapeake</v>
      </c>
      <c r="U241" s="1" t="str">
        <f t="shared" si="12"/>
        <v xml:space="preserve">Virginia </v>
      </c>
      <c r="V241" s="1" t="str">
        <f t="shared" si="13"/>
        <v>23670</v>
      </c>
    </row>
    <row r="242" spans="1:22" ht="20.100000000000001" customHeight="1" x14ac:dyDescent="0.2">
      <c r="A242" s="1" t="s">
        <v>261</v>
      </c>
      <c r="B242" s="1">
        <v>145579</v>
      </c>
      <c r="C242" s="1">
        <v>155</v>
      </c>
      <c r="T242" s="1" t="str">
        <f t="shared" si="11"/>
        <v>Hampton</v>
      </c>
      <c r="U242" s="1" t="str">
        <f t="shared" si="12"/>
        <v xml:space="preserve">Virginia </v>
      </c>
      <c r="V242" s="1" t="str">
        <f t="shared" si="13"/>
        <v>23607</v>
      </c>
    </row>
    <row r="243" spans="1:22" ht="20.100000000000001" customHeight="1" x14ac:dyDescent="0.2">
      <c r="A243" s="1" t="s">
        <v>262</v>
      </c>
      <c r="B243" s="1">
        <v>179899</v>
      </c>
      <c r="C243" s="1">
        <v>120</v>
      </c>
      <c r="T243" s="1" t="str">
        <f t="shared" si="11"/>
        <v>Newport News</v>
      </c>
      <c r="U243" s="1" t="str">
        <f t="shared" si="12"/>
        <v xml:space="preserve">Virginia </v>
      </c>
      <c r="V243" s="1" t="str">
        <f t="shared" si="13"/>
        <v>23501</v>
      </c>
    </row>
    <row r="244" spans="1:22" ht="20.100000000000001" customHeight="1" x14ac:dyDescent="0.2">
      <c r="A244" s="1" t="s">
        <v>263</v>
      </c>
      <c r="B244" s="1">
        <v>231954</v>
      </c>
      <c r="C244" s="1">
        <v>78</v>
      </c>
      <c r="T244" s="1" t="str">
        <f t="shared" si="11"/>
        <v>Norfolk</v>
      </c>
      <c r="U244" s="1" t="str">
        <f t="shared" si="12"/>
        <v xml:space="preserve">Virginia </v>
      </c>
      <c r="V244" s="1" t="str">
        <f t="shared" si="13"/>
        <v>23707</v>
      </c>
    </row>
    <row r="245" spans="1:22" ht="20.100000000000001" customHeight="1" x14ac:dyDescent="0.2">
      <c r="A245" s="1" t="s">
        <v>264</v>
      </c>
      <c r="B245" s="1">
        <v>100169</v>
      </c>
      <c r="C245" s="1">
        <v>252</v>
      </c>
      <c r="T245" s="1" t="str">
        <f t="shared" si="11"/>
        <v>Portsmouth</v>
      </c>
      <c r="U245" s="1" t="str">
        <f t="shared" si="12"/>
        <v xml:space="preserve">Virginia </v>
      </c>
      <c r="V245" s="1" t="str">
        <f t="shared" si="13"/>
        <v>23702</v>
      </c>
    </row>
    <row r="246" spans="1:22" ht="20.100000000000001" customHeight="1" x14ac:dyDescent="0.2">
      <c r="A246" s="1" t="s">
        <v>265</v>
      </c>
      <c r="B246" s="1">
        <v>193777</v>
      </c>
      <c r="C246" s="1">
        <v>108</v>
      </c>
      <c r="T246" s="1" t="str">
        <f t="shared" si="11"/>
        <v>Richmond</v>
      </c>
      <c r="U246" s="1" t="str">
        <f t="shared" si="12"/>
        <v xml:space="preserve">Virginia </v>
      </c>
      <c r="V246" s="1" t="str">
        <f t="shared" si="13"/>
        <v>23232</v>
      </c>
    </row>
    <row r="247" spans="1:22" ht="20.100000000000001" customHeight="1" x14ac:dyDescent="0.2">
      <c r="A247" s="1" t="s">
        <v>266</v>
      </c>
      <c r="B247" s="1">
        <v>438415</v>
      </c>
      <c r="C247" s="1">
        <v>42</v>
      </c>
      <c r="T247" s="1" t="str">
        <f t="shared" si="11"/>
        <v>Virginia Beach</v>
      </c>
      <c r="U247" s="1" t="str">
        <f t="shared" si="12"/>
        <v xml:space="preserve">Virginia </v>
      </c>
      <c r="V247" s="1" t="str">
        <f t="shared" si="13"/>
        <v>23450</v>
      </c>
    </row>
    <row r="248" spans="1:22" ht="20.100000000000001" customHeight="1" x14ac:dyDescent="0.2">
      <c r="A248" s="1" t="s">
        <v>267</v>
      </c>
      <c r="B248" s="1">
        <v>117137</v>
      </c>
      <c r="C248" s="1">
        <v>201</v>
      </c>
      <c r="T248" s="1" t="str">
        <f t="shared" si="11"/>
        <v>Bellevue</v>
      </c>
      <c r="U248" s="1" t="str">
        <f t="shared" si="12"/>
        <v xml:space="preserve">Washington </v>
      </c>
      <c r="V248" s="1" t="str">
        <f t="shared" si="13"/>
        <v>98009</v>
      </c>
    </row>
    <row r="249" spans="1:22" ht="20.100000000000001" customHeight="1" x14ac:dyDescent="0.2">
      <c r="A249" s="1" t="s">
        <v>268</v>
      </c>
      <c r="B249" s="1">
        <v>573911</v>
      </c>
      <c r="C249" s="1">
        <v>23</v>
      </c>
      <c r="T249" s="1" t="str">
        <f t="shared" si="11"/>
        <v>Seattle</v>
      </c>
      <c r="U249" s="1" t="str">
        <f t="shared" si="12"/>
        <v xml:space="preserve">Washington </v>
      </c>
      <c r="V249" s="1" t="str">
        <f t="shared" si="13"/>
        <v>98108</v>
      </c>
    </row>
    <row r="250" spans="1:22" ht="20.100000000000001" customHeight="1" x14ac:dyDescent="0.2">
      <c r="A250" s="1" t="s">
        <v>269</v>
      </c>
      <c r="B250" s="1">
        <v>196818</v>
      </c>
      <c r="C250" s="1">
        <v>101</v>
      </c>
      <c r="T250" s="1" t="str">
        <f t="shared" si="11"/>
        <v>Spokane</v>
      </c>
      <c r="U250" s="1" t="str">
        <f t="shared" si="12"/>
        <v xml:space="preserve">Washington </v>
      </c>
      <c r="V250" s="1" t="str">
        <f t="shared" si="13"/>
        <v>99201</v>
      </c>
    </row>
    <row r="251" spans="1:22" ht="20.100000000000001" customHeight="1" x14ac:dyDescent="0.2">
      <c r="A251" s="1" t="s">
        <v>270</v>
      </c>
      <c r="B251" s="1">
        <v>195898</v>
      </c>
      <c r="C251" s="1">
        <v>104</v>
      </c>
      <c r="T251" s="1" t="str">
        <f t="shared" si="11"/>
        <v>Tacoma</v>
      </c>
      <c r="U251" s="1" t="str">
        <f t="shared" si="12"/>
        <v xml:space="preserve">Washington </v>
      </c>
      <c r="V251" s="1" t="str">
        <f t="shared" si="13"/>
        <v>98413</v>
      </c>
    </row>
    <row r="252" spans="1:22" ht="20.100000000000001" customHeight="1" x14ac:dyDescent="0.2">
      <c r="A252" s="1" t="s">
        <v>271</v>
      </c>
      <c r="B252" s="1">
        <v>157493</v>
      </c>
      <c r="C252" s="1">
        <v>142</v>
      </c>
      <c r="T252" s="1" t="str">
        <f t="shared" si="11"/>
        <v>Vancouver</v>
      </c>
      <c r="U252" s="1" t="str">
        <f t="shared" si="12"/>
        <v xml:space="preserve">Washington </v>
      </c>
      <c r="V252" s="1" t="str">
        <f t="shared" si="13"/>
        <v>98668</v>
      </c>
    </row>
    <row r="253" spans="1:22" ht="20.100000000000001" customHeight="1" x14ac:dyDescent="0.2">
      <c r="A253" s="1" t="s">
        <v>272</v>
      </c>
      <c r="B253" s="1">
        <v>101203</v>
      </c>
      <c r="C253" s="1">
        <v>247</v>
      </c>
      <c r="T253" s="1" t="str">
        <f t="shared" si="11"/>
        <v>Green Bay</v>
      </c>
      <c r="U253" s="1" t="str">
        <f t="shared" si="12"/>
        <v xml:space="preserve">Wisconsin </v>
      </c>
      <c r="V253" s="1" t="str">
        <f t="shared" si="13"/>
        <v>54303</v>
      </c>
    </row>
    <row r="254" spans="1:22" ht="20.100000000000001" customHeight="1" x14ac:dyDescent="0.2">
      <c r="A254" s="1" t="s">
        <v>273</v>
      </c>
      <c r="B254" s="1">
        <v>221551</v>
      </c>
      <c r="C254" s="1">
        <v>83</v>
      </c>
      <c r="T254" s="1" t="str">
        <f t="shared" si="11"/>
        <v>Madison</v>
      </c>
      <c r="U254" s="1" t="str">
        <f t="shared" si="12"/>
        <v xml:space="preserve">Wisconsin </v>
      </c>
      <c r="V254" s="1" t="str">
        <f t="shared" si="13"/>
        <v>53714</v>
      </c>
    </row>
    <row r="255" spans="1:22" ht="20.100000000000001" customHeight="1" x14ac:dyDescent="0.2">
      <c r="A255" s="1" t="s">
        <v>274</v>
      </c>
      <c r="B255" s="1">
        <v>578887</v>
      </c>
      <c r="C255" s="1">
        <v>22</v>
      </c>
      <c r="T255" s="1" t="str">
        <f t="shared" si="11"/>
        <v>Milwaukee</v>
      </c>
      <c r="U255" s="1" t="str">
        <f t="shared" si="12"/>
        <v xml:space="preserve">Wisconsin </v>
      </c>
      <c r="V255" s="1" t="str">
        <f t="shared" si="13"/>
        <v>53203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6502-375B-462B-A987-0025E1280F3E}">
  <dimension ref="A1:E41"/>
  <sheetViews>
    <sheetView tabSelected="1" topLeftCell="A28" zoomScale="177" workbookViewId="0">
      <selection activeCell="E31" sqref="E31"/>
    </sheetView>
  </sheetViews>
  <sheetFormatPr defaultRowHeight="14.25" x14ac:dyDescent="0.2"/>
  <cols>
    <col min="1" max="1" width="26.5" bestFit="1" customWidth="1"/>
    <col min="2" max="2" width="17.875" bestFit="1" customWidth="1"/>
    <col min="3" max="4" width="35.75" customWidth="1"/>
    <col min="5" max="5" width="10.25" bestFit="1" customWidth="1"/>
  </cols>
  <sheetData>
    <row r="1" spans="1:3" x14ac:dyDescent="0.2">
      <c r="A1" t="s">
        <v>277</v>
      </c>
      <c r="B1" t="s">
        <v>278</v>
      </c>
      <c r="C1" t="str">
        <f>A1&amp;" "&amp;B1</f>
        <v>Nikhil Sharma</v>
      </c>
    </row>
    <row r="2" spans="1:3" x14ac:dyDescent="0.2">
      <c r="C2" t="str">
        <f>_xlfn.CONCAT(A1:B1)</f>
        <v>NikhilSharma</v>
      </c>
    </row>
    <row r="6" spans="1:3" x14ac:dyDescent="0.2">
      <c r="B6" s="3">
        <v>12</v>
      </c>
      <c r="C6">
        <f>VALUE(B6)</f>
        <v>12</v>
      </c>
    </row>
    <row r="7" spans="1:3" x14ac:dyDescent="0.2">
      <c r="C7" t="s">
        <v>293</v>
      </c>
    </row>
    <row r="8" spans="1:3" x14ac:dyDescent="0.2">
      <c r="A8" s="4" t="s">
        <v>280</v>
      </c>
      <c r="B8" t="str">
        <f>LEFT(A8,FIND("@",A8)-1)</f>
        <v>amit</v>
      </c>
      <c r="C8" t="str">
        <f>MID(A8,FIND("@",A8)+1,FIND(".",A8)-FIND("@",A8)-1)</f>
        <v>gmail</v>
      </c>
    </row>
    <row r="9" spans="1:3" x14ac:dyDescent="0.2">
      <c r="A9" s="4" t="s">
        <v>281</v>
      </c>
      <c r="B9" t="str">
        <f t="shared" ref="B9:B13" si="0">LEFT(A9,FIND("@",A9)-1)</f>
        <v>himanshu</v>
      </c>
      <c r="C9" t="str">
        <f t="shared" ref="C9:C13" si="1">MID(A9,FIND("@",A9)+1,FIND(".",A9)-FIND("@",A9)-1)</f>
        <v>gmail</v>
      </c>
    </row>
    <row r="10" spans="1:3" x14ac:dyDescent="0.2">
      <c r="A10" s="4" t="s">
        <v>282</v>
      </c>
      <c r="B10" t="str">
        <f t="shared" si="0"/>
        <v>om</v>
      </c>
      <c r="C10" t="str">
        <f t="shared" si="1"/>
        <v>gmail</v>
      </c>
    </row>
    <row r="11" spans="1:3" x14ac:dyDescent="0.2">
      <c r="A11" s="4" t="s">
        <v>295</v>
      </c>
      <c r="B11" t="str">
        <f>LEFT(A11,FIND("@",A11)-1)</f>
        <v>nitin</v>
      </c>
      <c r="C11" t="str">
        <f t="shared" si="1"/>
        <v>rediffmail</v>
      </c>
    </row>
    <row r="12" spans="1:3" x14ac:dyDescent="0.2">
      <c r="A12" s="4" t="s">
        <v>294</v>
      </c>
      <c r="B12" t="str">
        <f t="shared" si="0"/>
        <v>rohan</v>
      </c>
      <c r="C12" t="str">
        <f t="shared" si="1"/>
        <v>outlook</v>
      </c>
    </row>
    <row r="13" spans="1:3" x14ac:dyDescent="0.2">
      <c r="A13" s="4" t="s">
        <v>296</v>
      </c>
      <c r="B13" t="str">
        <f t="shared" si="0"/>
        <v>pooja</v>
      </c>
      <c r="C13" t="str">
        <f t="shared" si="1"/>
        <v>microsoft</v>
      </c>
    </row>
    <row r="15" spans="1:3" x14ac:dyDescent="0.2">
      <c r="B15" t="s">
        <v>284</v>
      </c>
      <c r="C15" t="s">
        <v>285</v>
      </c>
    </row>
    <row r="16" spans="1:3" x14ac:dyDescent="0.2">
      <c r="A16" t="s">
        <v>283</v>
      </c>
      <c r="B16" t="e">
        <f>FIND("world",A16)</f>
        <v>#VALUE!</v>
      </c>
      <c r="C16">
        <f>SEARCH("world",A16)</f>
        <v>7</v>
      </c>
    </row>
    <row r="18" spans="1:5" ht="15" x14ac:dyDescent="0.25">
      <c r="B18" s="5" t="s">
        <v>289</v>
      </c>
      <c r="C18" s="6"/>
      <c r="D18" s="5" t="s">
        <v>288</v>
      </c>
    </row>
    <row r="19" spans="1:5" x14ac:dyDescent="0.2">
      <c r="A19" s="8" t="s">
        <v>286</v>
      </c>
      <c r="B19" s="7" t="s">
        <v>287</v>
      </c>
      <c r="C19" s="6"/>
      <c r="D19" s="6"/>
    </row>
    <row r="20" spans="1:5" x14ac:dyDescent="0.2">
      <c r="A20" s="9">
        <v>9686484847</v>
      </c>
      <c r="B20" s="6" t="str">
        <f>REPLACE(A20,1,6,"xxxxxx")</f>
        <v>xxxxxx4847</v>
      </c>
      <c r="C20" s="6" t="str">
        <f>REPLACE(A20,7,10,"xxxx")</f>
        <v>968648xxxx</v>
      </c>
      <c r="D20" s="6" t="str">
        <f>SUBSTITUTE(A20,LEFT(A20,6),"xxxxxx")</f>
        <v>xxxxxx4847</v>
      </c>
    </row>
    <row r="21" spans="1:5" x14ac:dyDescent="0.2">
      <c r="A21" s="9">
        <v>9873623784</v>
      </c>
      <c r="B21" s="6" t="str">
        <f t="shared" ref="B21" si="2">REPLACE(A21,1,6,"xxxxxx")</f>
        <v>xxxxxx3784</v>
      </c>
      <c r="C21" s="6" t="str">
        <f t="shared" ref="C21:C22" si="3">REPLACE(A21,7,10,"xxxx")</f>
        <v>987362xxxx</v>
      </c>
      <c r="D21" s="6" t="str">
        <f t="shared" ref="D21:D22" si="4">SUBSTITUTE(A21,LEFT(A21,6),"xxxxxx")</f>
        <v>xxxxxx3784</v>
      </c>
    </row>
    <row r="22" spans="1:5" x14ac:dyDescent="0.2">
      <c r="A22" s="9">
        <v>8263978893</v>
      </c>
      <c r="B22" s="6" t="str">
        <f>REPLACE(A22,1,6,"xxxxxx")</f>
        <v>xxxxxx8893</v>
      </c>
      <c r="C22" s="6" t="str">
        <f t="shared" si="3"/>
        <v>826397xxxx</v>
      </c>
      <c r="D22" s="6" t="str">
        <f t="shared" si="4"/>
        <v>xxxxxx8893</v>
      </c>
    </row>
    <row r="24" spans="1:5" x14ac:dyDescent="0.2">
      <c r="A24" t="s">
        <v>292</v>
      </c>
    </row>
    <row r="25" spans="1:5" x14ac:dyDescent="0.2">
      <c r="A25" s="3" t="s">
        <v>290</v>
      </c>
      <c r="B25" t="str">
        <f>SUBSTITUTE(A25,LEFT(A25,3),"(+91)")</f>
        <v>(+91)8778383865</v>
      </c>
    </row>
    <row r="26" spans="1:5" x14ac:dyDescent="0.2">
      <c r="A26" s="3" t="s">
        <v>291</v>
      </c>
      <c r="B26" t="str">
        <f>SUBSTITUTE(A26,LEFT(A26,3),"(+91)")</f>
        <v>(+91)8263978896</v>
      </c>
    </row>
    <row r="30" spans="1:5" ht="15" x14ac:dyDescent="0.25">
      <c r="A30" s="5" t="s">
        <v>297</v>
      </c>
      <c r="B30" s="5" t="s">
        <v>19</v>
      </c>
      <c r="C30" s="5" t="s">
        <v>20</v>
      </c>
      <c r="D30" s="5" t="s">
        <v>298</v>
      </c>
    </row>
    <row r="31" spans="1:5" x14ac:dyDescent="0.2">
      <c r="A31" s="10" t="s">
        <v>28</v>
      </c>
      <c r="B31" s="6" t="str">
        <f>LEFT(A31,FIND(",",A31)-1)</f>
        <v>Gilbert</v>
      </c>
      <c r="C31" s="6" t="str">
        <f>MID(A31,FIND(",",A31)+2,FIND(" ",A31,14)-FIND(",",A31)-2)</f>
        <v>Arizona</v>
      </c>
      <c r="D31" s="6"/>
      <c r="E31" t="str">
        <f>MID(A31,FIND(",",A31)+2,LEN(A31)-FIND(",",A31)-8)</f>
        <v>Arizona</v>
      </c>
    </row>
    <row r="32" spans="1:5" x14ac:dyDescent="0.2">
      <c r="A32" s="10" t="s">
        <v>29</v>
      </c>
      <c r="B32" s="6" t="str">
        <f t="shared" ref="B32:B38" si="5">LEFT(A32,FIND(",",A32)-1)</f>
        <v>Glendale</v>
      </c>
      <c r="C32" s="6" t="str">
        <f t="shared" ref="C32:C38" si="6">MID(A32,FIND(",",A32)+2,FIND(" ",A32,14)-FIND(",",A32)-2)</f>
        <v>Arizona</v>
      </c>
      <c r="D32" s="6" t="str">
        <f t="shared" ref="D32:D38" si="7">RIGHT(A32,5)</f>
        <v>85302</v>
      </c>
      <c r="E32" t="str">
        <f t="shared" ref="E32:E38" si="8">MID(A32,FIND(",",A32)+2,LEN(A32)-FIND(",",A32)-8)</f>
        <v>Arizona</v>
      </c>
    </row>
    <row r="33" spans="1:5" x14ac:dyDescent="0.2">
      <c r="A33" s="10" t="s">
        <v>30</v>
      </c>
      <c r="B33" s="6" t="str">
        <f t="shared" si="5"/>
        <v>Mesa</v>
      </c>
      <c r="C33" s="6" t="str">
        <f t="shared" si="6"/>
        <v>Arizona</v>
      </c>
      <c r="D33" s="6" t="str">
        <f t="shared" si="7"/>
        <v>85201</v>
      </c>
      <c r="E33" t="str">
        <f t="shared" si="8"/>
        <v>Arizona</v>
      </c>
    </row>
    <row r="34" spans="1:5" x14ac:dyDescent="0.2">
      <c r="A34" s="10" t="s">
        <v>31</v>
      </c>
      <c r="B34" s="6" t="str">
        <f t="shared" si="5"/>
        <v>Peoria</v>
      </c>
      <c r="C34" s="6" t="str">
        <f t="shared" si="6"/>
        <v>Arizona</v>
      </c>
      <c r="D34" s="6" t="str">
        <f t="shared" si="7"/>
        <v>85381</v>
      </c>
      <c r="E34" t="str">
        <f t="shared" si="8"/>
        <v>Arizona</v>
      </c>
    </row>
    <row r="35" spans="1:5" x14ac:dyDescent="0.2">
      <c r="A35" s="10" t="s">
        <v>97</v>
      </c>
      <c r="B35" s="6" t="str">
        <f t="shared" si="5"/>
        <v>Visalia</v>
      </c>
      <c r="C35" s="6" t="str">
        <f t="shared" si="6"/>
        <v>California</v>
      </c>
      <c r="D35" s="6" t="str">
        <f t="shared" si="7"/>
        <v>93277</v>
      </c>
      <c r="E35" t="str">
        <f t="shared" si="8"/>
        <v>California</v>
      </c>
    </row>
    <row r="36" spans="1:5" x14ac:dyDescent="0.2">
      <c r="A36" s="10" t="s">
        <v>98</v>
      </c>
      <c r="B36" s="6" t="str">
        <f t="shared" si="5"/>
        <v>West Covina</v>
      </c>
      <c r="C36" s="6" t="str">
        <f t="shared" si="6"/>
        <v>California</v>
      </c>
      <c r="D36" s="6" t="str">
        <f t="shared" si="7"/>
        <v>91793</v>
      </c>
      <c r="E36" t="str">
        <f t="shared" si="8"/>
        <v>California</v>
      </c>
    </row>
    <row r="37" spans="1:5" x14ac:dyDescent="0.2">
      <c r="A37" s="10" t="s">
        <v>99</v>
      </c>
      <c r="B37" s="6" t="str">
        <f t="shared" si="5"/>
        <v>Arvada</v>
      </c>
      <c r="C37" s="6" t="str">
        <f t="shared" si="6"/>
        <v>Colorado</v>
      </c>
      <c r="D37" s="6" t="str">
        <f t="shared" si="7"/>
        <v>80004</v>
      </c>
      <c r="E37" t="str">
        <f t="shared" si="8"/>
        <v>Colorado</v>
      </c>
    </row>
    <row r="38" spans="1:5" x14ac:dyDescent="0.2">
      <c r="A38" s="10" t="s">
        <v>100</v>
      </c>
      <c r="B38" s="6" t="str">
        <f t="shared" si="5"/>
        <v>Aurora</v>
      </c>
      <c r="C38" s="6" t="str">
        <f t="shared" si="6"/>
        <v>Colorado</v>
      </c>
      <c r="D38" s="6" t="str">
        <f t="shared" si="7"/>
        <v>80017</v>
      </c>
      <c r="E38" t="str">
        <f t="shared" si="8"/>
        <v>Colorado</v>
      </c>
    </row>
    <row r="40" spans="1:5" x14ac:dyDescent="0.2">
      <c r="C40">
        <f>FIND(" ",A31,14)</f>
        <v>17</v>
      </c>
    </row>
    <row r="41" spans="1:5" x14ac:dyDescent="0.2">
      <c r="C41">
        <f>FIND(",",A31)</f>
        <v>8</v>
      </c>
    </row>
  </sheetData>
  <hyperlinks>
    <hyperlink ref="A8" r:id="rId1" xr:uid="{DA2AF1E3-20B8-4079-BCAE-0C4587A398CB}"/>
    <hyperlink ref="A9" r:id="rId2" xr:uid="{5FC1274F-0ABF-4739-81F9-A37BFF337A3A}"/>
    <hyperlink ref="A10" r:id="rId3" xr:uid="{5909AFB1-B58D-4742-89BA-933074BD7FD4}"/>
    <hyperlink ref="A11" r:id="rId4" xr:uid="{36694CEB-BC1D-438E-90C1-3AEC314E61C3}"/>
    <hyperlink ref="A12" r:id="rId5" xr:uid="{BC3901BB-71EA-409B-9C05-14CCA6054B23}"/>
    <hyperlink ref="A13" r:id="rId6" xr:uid="{6C2B2965-821C-4A40-ADC0-9827F83323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to Columns</vt:lpstr>
      <vt:lpstr>Text 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Bhushan Gujarkar</cp:lastModifiedBy>
  <dcterms:created xsi:type="dcterms:W3CDTF">2021-09-16T13:34:01Z</dcterms:created>
  <dcterms:modified xsi:type="dcterms:W3CDTF">2026-10-12T07:54:41Z</dcterms:modified>
</cp:coreProperties>
</file>