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DA\Advanced Excel\"/>
    </mc:Choice>
  </mc:AlternateContent>
  <xr:revisionPtr revIDLastSave="0" documentId="13_ncr:1_{C57FA3C2-73AB-4B8B-8FFC-6D7205742B9B}" xr6:coauthVersionLast="47" xr6:coauthVersionMax="47" xr10:uidLastSave="{00000000-0000-0000-0000-000000000000}"/>
  <bookViews>
    <workbookView xWindow="-120" yWindow="-120" windowWidth="20730" windowHeight="11040" xr2:uid="{C4E566D6-4848-4FA5-93A7-807593E85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 a="1"/>
  <c r="E14" i="1"/>
  <c r="E15" i="1" a="1"/>
  <c r="E15" i="1"/>
  <c r="E16" i="1" a="1"/>
  <c r="E16" i="1"/>
  <c r="E17" i="1" a="1"/>
  <c r="E17" i="1"/>
  <c r="E18" i="1" a="1"/>
  <c r="E18" i="1" s="1"/>
  <c r="E19" i="1" a="1"/>
  <c r="E19" i="1"/>
  <c r="E20" i="1" a="1"/>
  <c r="E20" i="1"/>
  <c r="E21" i="1" a="1"/>
  <c r="E21" i="1"/>
  <c r="E22" i="1" a="1"/>
  <c r="E22" i="1" s="1"/>
  <c r="E13" i="1" a="1"/>
  <c r="E13" i="1"/>
  <c r="C13" i="1"/>
  <c r="D13" i="1"/>
  <c r="D14" i="1"/>
  <c r="D15" i="1"/>
  <c r="D16" i="1"/>
  <c r="D17" i="1"/>
  <c r="D18" i="1"/>
  <c r="D19" i="1"/>
  <c r="D20" i="1"/>
  <c r="D21" i="1"/>
  <c r="D22" i="1"/>
  <c r="C14" i="1"/>
  <c r="C15" i="1"/>
  <c r="C16" i="1"/>
  <c r="C17" i="1"/>
  <c r="C18" i="1"/>
  <c r="C19" i="1"/>
  <c r="C20" i="1"/>
  <c r="C21" i="1"/>
  <c r="C22" i="1"/>
  <c r="G3" i="1"/>
  <c r="G4" i="1"/>
  <c r="G5" i="1"/>
  <c r="G6" i="1"/>
  <c r="G7" i="1"/>
  <c r="G2" i="1"/>
  <c r="D3" i="1"/>
  <c r="D4" i="1"/>
  <c r="D5" i="1"/>
  <c r="D6" i="1"/>
  <c r="D7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<sst xmlns="http://schemas.openxmlformats.org/spreadsheetml/2006/main" count="44" uniqueCount="39">
  <si>
    <t>Name</t>
  </si>
  <si>
    <t>Spend</t>
  </si>
  <si>
    <t>Years</t>
  </si>
  <si>
    <t>Total Amount after discount</t>
  </si>
  <si>
    <t>Ankit</t>
  </si>
  <si>
    <t>Nitin</t>
  </si>
  <si>
    <t>Ketan</t>
  </si>
  <si>
    <t>Hitesh</t>
  </si>
  <si>
    <t>Komal</t>
  </si>
  <si>
    <t>Ishan</t>
  </si>
  <si>
    <t>if the customer spends at least ₹3,000 and has been a customer for at least three years.</t>
  </si>
  <si>
    <t>Give 10% discount if both above conditions are met</t>
  </si>
  <si>
    <t>Total Amount Based only on years</t>
  </si>
  <si>
    <t>Marks</t>
  </si>
  <si>
    <t>Ajit</t>
  </si>
  <si>
    <t>Meena</t>
  </si>
  <si>
    <t>Seema</t>
  </si>
  <si>
    <t>Mayur</t>
  </si>
  <si>
    <t>Ram</t>
  </si>
  <si>
    <t>Umesh</t>
  </si>
  <si>
    <t>Tina</t>
  </si>
  <si>
    <t>Grades</t>
  </si>
  <si>
    <t>&gt;=90</t>
  </si>
  <si>
    <t>&gt;50</t>
  </si>
  <si>
    <t>Average</t>
  </si>
  <si>
    <t>Good</t>
  </si>
  <si>
    <t>Excellent</t>
  </si>
  <si>
    <t>&gt;40</t>
  </si>
  <si>
    <t>Else</t>
  </si>
  <si>
    <t>Fail</t>
  </si>
  <si>
    <t>Very Good</t>
  </si>
  <si>
    <t>Rohan</t>
  </si>
  <si>
    <t>NA</t>
  </si>
  <si>
    <t>&gt;=75</t>
  </si>
  <si>
    <t>FORMULAS</t>
  </si>
  <si>
    <t>ISTEXT</t>
  </si>
  <si>
    <t>ISNUMBER</t>
  </si>
  <si>
    <t>NOT FUNCTION</t>
  </si>
  <si>
    <t>ISNA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</si>
</sst>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1" fillId="0" borderId="0" xfId="0" applyFont="1" applyBorder="1"/>
    <xf numFmtId="0" fontId="0" fillId="0" borderId="0" xfId="0" applyBorder="1"/>
    <xf numFmtId="0" fontId="1" fillId="0" borderId="0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9">
    <dxf>
      <fill>
        <patternFill>
          <bgColor theme="4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60D1-5E6D-4E97-A7F4-910B353D760C}">
  <dimension ref="A1:J22"/>
  <sheetViews>
    <sheetView tabSelected="1" topLeftCell="A2" workbookViewId="0">
      <selection sqref="A1:XFD1048576"/>
    </sheetView>
  </sheetViews>
  <sheetFormatPr defaultRowHeight="15" x14ac:dyDescent="0.25"/>
  <cols>
    <col min="1" max="1" width="16.42578125" customWidth="1"/>
    <col min="3" max="3" width="9.85546875" bestFit="1" customWidth="1"/>
    <col min="4" max="4" width="26.42578125" bestFit="1" customWidth="1"/>
    <col min="5" max="6" width="26.42578125" customWidth="1"/>
    <col min="7" max="7" width="31.140625" bestFit="1" customWidth="1"/>
    <col min="8" max="8" width="9.85546875" bestFit="1" customWidth="1"/>
    <col min="10" max="10" width="14.7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5"/>
      <c r="F1" s="5"/>
      <c r="G1" s="1" t="s">
        <v>12</v>
      </c>
      <c r="H1" s="1"/>
    </row>
    <row r="2" spans="1:10" x14ac:dyDescent="0.25">
      <c r="A2" s="3" t="s">
        <v>4</v>
      </c>
      <c r="B2" s="3">
        <v>3500</v>
      </c>
      <c r="C2" s="3">
        <v>2</v>
      </c>
      <c r="D2" s="3">
        <f>IF(AND(B2&gt;=3000,C2&gt;=3),B2-(B2*0.1),B2)</f>
        <v>3500</v>
      </c>
      <c r="E2" s="6"/>
      <c r="F2" s="6"/>
      <c r="G2">
        <f>IF(C2&gt;3,0.9*B2,B2)</f>
        <v>3500</v>
      </c>
    </row>
    <row r="3" spans="1:10" x14ac:dyDescent="0.25">
      <c r="A3" s="3" t="s">
        <v>5</v>
      </c>
      <c r="B3" s="3">
        <v>2400</v>
      </c>
      <c r="C3" s="3">
        <v>4</v>
      </c>
      <c r="D3" s="3">
        <f t="shared" ref="D3:D7" si="0">IF(AND(B3&gt;=3000,C3&gt;=3),B3-(B3*0.1),B3)</f>
        <v>2400</v>
      </c>
      <c r="E3" s="6"/>
      <c r="F3" s="6"/>
      <c r="G3">
        <f t="shared" ref="G3:G7" si="1">IF(C3&gt;3,0.9*B3,B3)</f>
        <v>2160</v>
      </c>
    </row>
    <row r="4" spans="1:10" x14ac:dyDescent="0.25">
      <c r="A4" s="3" t="s">
        <v>6</v>
      </c>
      <c r="B4" s="3">
        <v>4700</v>
      </c>
      <c r="C4" s="3">
        <v>5</v>
      </c>
      <c r="D4" s="3">
        <f t="shared" si="0"/>
        <v>4230</v>
      </c>
      <c r="E4" s="6"/>
      <c r="F4" s="6"/>
      <c r="G4">
        <f t="shared" si="1"/>
        <v>4230</v>
      </c>
    </row>
    <row r="5" spans="1:10" x14ac:dyDescent="0.25">
      <c r="A5" s="3" t="s">
        <v>7</v>
      </c>
      <c r="B5" s="3">
        <v>5800</v>
      </c>
      <c r="C5" s="3">
        <v>4</v>
      </c>
      <c r="D5" s="3">
        <f t="shared" si="0"/>
        <v>5220</v>
      </c>
      <c r="E5" s="6"/>
      <c r="F5" s="6"/>
      <c r="G5">
        <f t="shared" si="1"/>
        <v>5220</v>
      </c>
    </row>
    <row r="6" spans="1:10" x14ac:dyDescent="0.25">
      <c r="A6" s="3" t="s">
        <v>8</v>
      </c>
      <c r="B6" s="3">
        <v>1500</v>
      </c>
      <c r="C6" s="3">
        <v>6</v>
      </c>
      <c r="D6" s="3">
        <f t="shared" si="0"/>
        <v>1500</v>
      </c>
      <c r="E6" s="6"/>
      <c r="F6" s="6"/>
      <c r="G6">
        <f t="shared" si="1"/>
        <v>1350</v>
      </c>
    </row>
    <row r="7" spans="1:10" x14ac:dyDescent="0.25">
      <c r="A7" s="3" t="s">
        <v>9</v>
      </c>
      <c r="B7" s="3">
        <v>3500</v>
      </c>
      <c r="C7" s="3">
        <v>3</v>
      </c>
      <c r="D7" s="3">
        <f t="shared" si="0"/>
        <v>3150</v>
      </c>
      <c r="E7" s="6"/>
      <c r="F7" s="6"/>
      <c r="G7">
        <f t="shared" si="1"/>
        <v>3500</v>
      </c>
    </row>
    <row r="9" spans="1:10" x14ac:dyDescent="0.25">
      <c r="A9" s="1" t="s">
        <v>10</v>
      </c>
      <c r="B9" s="1"/>
      <c r="C9" s="1"/>
      <c r="D9" s="1"/>
      <c r="E9" s="1"/>
      <c r="F9" s="1"/>
      <c r="G9" s="1"/>
      <c r="H9" s="1"/>
      <c r="I9" s="1"/>
    </row>
    <row r="10" spans="1:10" x14ac:dyDescent="0.25">
      <c r="A10" s="1" t="s">
        <v>11</v>
      </c>
      <c r="B10" s="1"/>
      <c r="C10" s="1"/>
      <c r="D10" s="1"/>
      <c r="E10" s="1"/>
      <c r="F10" s="1"/>
      <c r="G10" s="1"/>
      <c r="H10" s="1"/>
      <c r="I10" s="1"/>
    </row>
    <row r="11" spans="1:10" x14ac:dyDescent="0.25">
      <c r="C11" s="1"/>
    </row>
    <row r="12" spans="1:10" x14ac:dyDescent="0.25">
      <c r="A12" s="2" t="s">
        <v>0</v>
      </c>
      <c r="B12" s="2" t="s">
        <v>13</v>
      </c>
      <c r="C12" s="2" t="s">
        <v>21</v>
      </c>
      <c r="D12" s="8" t="s">
        <v>21</v>
      </c>
      <c r="E12" s="8" t="s">
        <v>21</v>
      </c>
      <c r="F12" s="7"/>
    </row>
    <row r="13" spans="1:10" x14ac:dyDescent="0.25">
      <c r="A13" s="3" t="s">
        <v>14</v>
      </c>
      <c r="B13" s="3">
        <v>91</v>
      </c>
      <c r="C13" s="3" t="str">
        <f>IF(ISTEXT(B13),"No Grade",IF(B13&gt;=90,"Excellent",IF(B13&gt;=75,"Very Good",IF(B13&gt;50,"Good",IF(B13&gt;40,"Average","Fail")))))</f>
        <v>Excellent</v>
      </c>
      <c r="D13" s="3" t="str">
        <f>IF(NOT(ISNUMBER(B13)),"No Data",IF(B13&gt;=90,"Excellent",IF(B13&gt;=75,"Very Good",IF(B13&gt;50,"Good",IF(B13&gt;40,"Average","Fail")))))</f>
        <v>Excellent</v>
      </c>
      <c r="E13" s="3" t="str" cm="1">
        <f t="array" ref="E13">_xlfn.IFS(ISTEXT(B13),"No  Data",B13&gt;=90,"Excellent",B13&gt;=75,"Very Good",B13&gt;50,"Good",B13&gt;40,"Average",B13&lt;40,"Fail")</f>
        <v>Excellent</v>
      </c>
      <c r="G13" s="3" t="s">
        <v>22</v>
      </c>
      <c r="H13" s="3" t="s">
        <v>26</v>
      </c>
      <c r="J13" t="s">
        <v>34</v>
      </c>
    </row>
    <row r="14" spans="1:10" x14ac:dyDescent="0.25">
      <c r="A14" s="3" t="s">
        <v>15</v>
      </c>
      <c r="B14" s="3">
        <v>45</v>
      </c>
      <c r="C14" s="3" t="str">
        <f t="shared" ref="C14:C22" si="2">IF(ISTEXT(B14),"No Grade",IF(B14&gt;=90,"Excellent",IF(B14&gt;=75,"Very Good",IF(B14&gt;50,"Good",IF(B14&gt;40,"Average","Fail")))))</f>
        <v>Average</v>
      </c>
      <c r="D14" s="3" t="str">
        <f t="shared" ref="D14:D22" si="3">IF(NOT(ISNUMBER(B14)),"No Data",IF(B14&gt;=90,"Excellent",IF(B14&gt;=75,"Very Good",IF(B14&gt;50,"Good",IF(B14&gt;40,"Average","Fail")))))</f>
        <v>Average</v>
      </c>
      <c r="E14" s="3" t="str" cm="1">
        <f t="array" ref="E14">_xlfn.IFS(ISTEXT(B14),"No  Data",B14&gt;=90,"Excellent",B14&gt;=75,"Very Good",B14&gt;50,"Good",B14&gt;40,"Average",B14&lt;40,"Fail")</f>
        <v>Average</v>
      </c>
      <c r="G14" s="3" t="s">
        <v>33</v>
      </c>
      <c r="H14" s="3" t="s">
        <v>30</v>
      </c>
      <c r="J14" t="s">
        <v>35</v>
      </c>
    </row>
    <row r="15" spans="1:10" x14ac:dyDescent="0.25">
      <c r="A15" s="3" t="s">
        <v>16</v>
      </c>
      <c r="B15" s="3">
        <v>76</v>
      </c>
      <c r="C15" s="3" t="str">
        <f t="shared" si="2"/>
        <v>Very Good</v>
      </c>
      <c r="D15" s="3" t="str">
        <f t="shared" si="3"/>
        <v>Very Good</v>
      </c>
      <c r="E15" s="3" t="str" cm="1">
        <f t="array" ref="E15">_xlfn.IFS(ISTEXT(B15),"No  Data",B15&gt;=90,"Excellent",B15&gt;=75,"Very Good",B15&gt;50,"Good",B15&gt;40,"Average",B15&lt;40,"Fail")</f>
        <v>Very Good</v>
      </c>
      <c r="G15" s="3" t="s">
        <v>23</v>
      </c>
      <c r="H15" s="3" t="s">
        <v>25</v>
      </c>
      <c r="J15" t="s">
        <v>36</v>
      </c>
    </row>
    <row r="16" spans="1:10" x14ac:dyDescent="0.25">
      <c r="A16" s="3" t="s">
        <v>6</v>
      </c>
      <c r="B16" s="3">
        <v>32</v>
      </c>
      <c r="C16" s="3" t="str">
        <f t="shared" si="2"/>
        <v>Fail</v>
      </c>
      <c r="D16" s="3" t="str">
        <f t="shared" si="3"/>
        <v>Fail</v>
      </c>
      <c r="E16" s="3" t="str" cm="1">
        <f t="array" ref="E16">_xlfn.IFS(ISTEXT(B16),"No  Data",B16&gt;=90,"Excellent",B16&gt;=75,"Very Good",B16&gt;50,"Good",B16&gt;40,"Average",B16&lt;40,"Fail")</f>
        <v>Fail</v>
      </c>
      <c r="G16" s="3" t="s">
        <v>27</v>
      </c>
      <c r="H16" s="3" t="s">
        <v>24</v>
      </c>
      <c r="J16" t="s">
        <v>37</v>
      </c>
    </row>
    <row r="17" spans="1:10" x14ac:dyDescent="0.25">
      <c r="A17" s="3" t="s">
        <v>17</v>
      </c>
      <c r="B17" s="3">
        <v>67</v>
      </c>
      <c r="C17" s="3" t="str">
        <f t="shared" si="2"/>
        <v>Good</v>
      </c>
      <c r="D17" s="3" t="str">
        <f t="shared" si="3"/>
        <v>Good</v>
      </c>
      <c r="E17" s="3" t="str" cm="1">
        <f t="array" ref="E17">_xlfn.IFS(ISTEXT(B17),"No  Data",B17&gt;=90,"Excellent",B17&gt;=75,"Very Good",B17&gt;50,"Good",B17&gt;40,"Average",B17&lt;40,"Fail")</f>
        <v>Good</v>
      </c>
      <c r="G17" s="3" t="s">
        <v>28</v>
      </c>
      <c r="H17" s="3" t="s">
        <v>29</v>
      </c>
      <c r="J17" t="s">
        <v>38</v>
      </c>
    </row>
    <row r="18" spans="1:10" x14ac:dyDescent="0.25">
      <c r="A18" s="3" t="s">
        <v>18</v>
      </c>
      <c r="B18" s="3">
        <v>79</v>
      </c>
      <c r="C18" s="3" t="str">
        <f t="shared" si="2"/>
        <v>Very Good</v>
      </c>
      <c r="D18" s="3" t="str">
        <f t="shared" si="3"/>
        <v>Very Good</v>
      </c>
      <c r="E18" s="3" t="str" cm="1">
        <f t="array" ref="E18">_xlfn.IFS(ISTEXT(B18),"No  Data",B18&gt;=90,"Excellent",B18&gt;=75,"Very Good",B18&gt;50,"Good",B18&gt;40,"Average",B18&lt;40,"Fail")</f>
        <v>Very Good</v>
      </c>
    </row>
    <row r="19" spans="1:10" x14ac:dyDescent="0.25">
      <c r="A19" s="3" t="s">
        <v>19</v>
      </c>
      <c r="B19" s="3">
        <v>22</v>
      </c>
      <c r="C19" s="3" t="str">
        <f t="shared" si="2"/>
        <v>Fail</v>
      </c>
      <c r="D19" s="3" t="str">
        <f t="shared" si="3"/>
        <v>Fail</v>
      </c>
      <c r="E19" s="3" t="str" cm="1">
        <f t="array" ref="E19">_xlfn.IFS(ISTEXT(B19),"No  Data",B19&gt;=90,"Excellent",B19&gt;=75,"Very Good",B19&gt;50,"Good",B19&gt;40,"Average",B19&lt;40,"Fail")</f>
        <v>Fail</v>
      </c>
    </row>
    <row r="20" spans="1:10" x14ac:dyDescent="0.25">
      <c r="A20" s="3" t="s">
        <v>5</v>
      </c>
      <c r="B20" s="3">
        <v>90</v>
      </c>
      <c r="C20" s="3" t="str">
        <f t="shared" si="2"/>
        <v>Excellent</v>
      </c>
      <c r="D20" s="3" t="str">
        <f t="shared" si="3"/>
        <v>Excellent</v>
      </c>
      <c r="E20" s="3" t="str" cm="1">
        <f t="array" ref="E20">_xlfn.IFS(ISTEXT(B20),"No  Data",B20&gt;=90,"Excellent",B20&gt;=75,"Very Good",B20&gt;50,"Good",B20&gt;40,"Average",B20&lt;40,"Fail")</f>
        <v>Excellent</v>
      </c>
    </row>
    <row r="21" spans="1:10" x14ac:dyDescent="0.25">
      <c r="A21" s="3" t="s">
        <v>20</v>
      </c>
      <c r="B21" s="3">
        <v>78</v>
      </c>
      <c r="C21" s="3" t="str">
        <f t="shared" si="2"/>
        <v>Very Good</v>
      </c>
      <c r="D21" s="3" t="str">
        <f t="shared" si="3"/>
        <v>Very Good</v>
      </c>
      <c r="E21" s="3" t="str" cm="1">
        <f t="array" ref="E21">_xlfn.IFS(ISTEXT(B21),"No  Data",B21&gt;=90,"Excellent",B21&gt;=75,"Very Good",B21&gt;50,"Good",B21&gt;40,"Average",B21&lt;40,"Fail")</f>
        <v>Very Good</v>
      </c>
    </row>
    <row r="22" spans="1:10" x14ac:dyDescent="0.25">
      <c r="A22" s="4" t="s">
        <v>31</v>
      </c>
      <c r="B22" s="3" t="s">
        <v>32</v>
      </c>
      <c r="C22" s="3" t="str">
        <f t="shared" si="2"/>
        <v>No Grade</v>
      </c>
      <c r="D22" s="3" t="str">
        <f t="shared" si="3"/>
        <v>No Data</v>
      </c>
      <c r="E22" s="3" t="str" cm="1">
        <f t="array" ref="E22">_xlfn.IFS(ISTEXT(B22),"No  Data",B22&gt;=90,"Excellent",B22&gt;=75,"Very Good",B22&gt;50,"Good",B22&gt;40,"Average",B22&lt;40,"Fail")</f>
        <v>No  Data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Gujarkar</dc:creator>
  <cp:lastModifiedBy>Bhushan Gujarkar</cp:lastModifiedBy>
  <dcterms:created xsi:type="dcterms:W3CDTF">2026-09-21T13:08:22Z</dcterms:created>
  <dcterms:modified xsi:type="dcterms:W3CDTF">2026-09-28T07:41:06Z</dcterms:modified>
</cp:coreProperties>
</file>